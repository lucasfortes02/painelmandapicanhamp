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s\OneDrive\Área de Trabalho\Nova pasta\"/>
    </mc:Choice>
  </mc:AlternateContent>
  <xr:revisionPtr revIDLastSave="0" documentId="13_ncr:1_{ED38755D-E974-4ADF-A82B-772BC103F854}" xr6:coauthVersionLast="47" xr6:coauthVersionMax="47" xr10:uidLastSave="{00000000-0000-0000-0000-000000000000}"/>
  <bookViews>
    <workbookView xWindow="2268" yWindow="2268" windowWidth="17280" windowHeight="8880" xr2:uid="{401F928D-AAEA-4412-A653-5A0E2C5789FC}"/>
  </bookViews>
  <sheets>
    <sheet name="MP" sheetId="1" r:id="rId1"/>
    <sheet name="MA" sheetId="2" state="hidden" r:id="rId2"/>
    <sheet name="DESPES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8" i="1" l="1"/>
  <c r="P71" i="1"/>
  <c r="E84" i="1"/>
  <c r="AE83" i="1"/>
  <c r="O128" i="1"/>
  <c r="N128" i="1"/>
  <c r="M128" i="1"/>
  <c r="L128" i="1"/>
  <c r="K128" i="1"/>
  <c r="I128" i="1"/>
  <c r="H128" i="1"/>
  <c r="G128" i="1"/>
  <c r="F128" i="1"/>
  <c r="D128" i="1"/>
  <c r="J128" i="1"/>
  <c r="O63" i="1"/>
  <c r="N63" i="1"/>
  <c r="M63" i="1"/>
  <c r="L63" i="1"/>
  <c r="K63" i="1"/>
  <c r="J63" i="1"/>
  <c r="I63" i="1"/>
  <c r="H63" i="1"/>
  <c r="G63" i="1"/>
  <c r="F63" i="1"/>
  <c r="E63" i="1"/>
  <c r="D63" i="1"/>
  <c r="D84" i="1"/>
  <c r="O84" i="1"/>
  <c r="N84" i="1"/>
  <c r="M84" i="1"/>
  <c r="L84" i="1"/>
  <c r="K84" i="1"/>
  <c r="J84" i="1"/>
  <c r="I84" i="1"/>
  <c r="H84" i="1"/>
  <c r="G84" i="1"/>
  <c r="F84" i="1"/>
  <c r="P82" i="1"/>
  <c r="AE81" i="1"/>
  <c r="P81" i="1"/>
  <c r="AE80" i="1"/>
  <c r="P80" i="1"/>
  <c r="P79" i="1"/>
  <c r="AE78" i="1"/>
  <c r="P78" i="1"/>
  <c r="P77" i="1"/>
  <c r="AE76" i="1"/>
  <c r="P76" i="1"/>
  <c r="AE75" i="1"/>
  <c r="P75" i="1"/>
  <c r="P74" i="1"/>
  <c r="P73" i="1"/>
  <c r="AE72" i="1"/>
  <c r="P72" i="1"/>
  <c r="P70" i="1"/>
  <c r="P69" i="1"/>
  <c r="AE59" i="1"/>
  <c r="T61" i="1"/>
  <c r="U61" i="1"/>
  <c r="V61" i="1"/>
  <c r="W61" i="1"/>
  <c r="X61" i="1"/>
  <c r="Y61" i="1"/>
  <c r="Z61" i="1"/>
  <c r="AA61" i="1"/>
  <c r="S61" i="1"/>
  <c r="V60" i="1"/>
  <c r="W60" i="1"/>
  <c r="X60" i="1"/>
  <c r="U60" i="1"/>
  <c r="AA58" i="1"/>
  <c r="AA54" i="1"/>
  <c r="AA53" i="1"/>
  <c r="AA52" i="1"/>
  <c r="AA51" i="1"/>
  <c r="AA49" i="1"/>
  <c r="AE70" i="1" l="1"/>
  <c r="AE69" i="1"/>
  <c r="AE73" i="1"/>
  <c r="AE77" i="1"/>
  <c r="AE82" i="1"/>
  <c r="P84" i="1"/>
  <c r="AE74" i="1"/>
  <c r="AE79" i="1"/>
  <c r="AE60" i="1"/>
  <c r="AE61" i="1"/>
  <c r="J108" i="1"/>
  <c r="J115" i="1" s="1"/>
  <c r="I115" i="1"/>
  <c r="P61" i="1" l="1"/>
  <c r="P60" i="1"/>
  <c r="P59" i="1"/>
  <c r="E38" i="2"/>
  <c r="O30" i="2"/>
  <c r="P43" i="1" l="1"/>
  <c r="O44" i="1"/>
  <c r="N44" i="1"/>
  <c r="M44" i="1"/>
  <c r="L44" i="1"/>
  <c r="K44" i="1"/>
  <c r="J44" i="1"/>
  <c r="I44" i="1"/>
  <c r="H44" i="1"/>
  <c r="G44" i="1"/>
  <c r="F44" i="1"/>
  <c r="E44" i="1"/>
  <c r="D44" i="1"/>
  <c r="P42" i="1"/>
  <c r="O115" i="1"/>
  <c r="N115" i="1"/>
  <c r="M115" i="1"/>
  <c r="L115" i="1"/>
  <c r="K115" i="1"/>
  <c r="H115" i="1"/>
  <c r="G115" i="1"/>
  <c r="F115" i="1"/>
  <c r="E115" i="1"/>
  <c r="D115" i="1"/>
  <c r="AD58" i="1"/>
  <c r="Z58" i="1"/>
  <c r="Y58" i="1"/>
  <c r="X58" i="1"/>
  <c r="U58" i="1"/>
  <c r="T58" i="1"/>
  <c r="P58" i="1"/>
  <c r="AD57" i="1"/>
  <c r="U57" i="1"/>
  <c r="P57" i="1"/>
  <c r="AD56" i="1"/>
  <c r="X56" i="1"/>
  <c r="U56" i="1"/>
  <c r="T56" i="1"/>
  <c r="P56" i="1"/>
  <c r="AD55" i="1"/>
  <c r="X55" i="1"/>
  <c r="U55" i="1"/>
  <c r="T55" i="1"/>
  <c r="P55" i="1"/>
  <c r="AD54" i="1"/>
  <c r="Z54" i="1"/>
  <c r="Y54" i="1"/>
  <c r="X54" i="1"/>
  <c r="V54" i="1"/>
  <c r="U54" i="1"/>
  <c r="P54" i="1"/>
  <c r="AD53" i="1"/>
  <c r="Z53" i="1"/>
  <c r="Y53" i="1"/>
  <c r="X53" i="1"/>
  <c r="V53" i="1"/>
  <c r="U53" i="1"/>
  <c r="T53" i="1"/>
  <c r="P53" i="1"/>
  <c r="AD52" i="1"/>
  <c r="Z52" i="1"/>
  <c r="Y52" i="1"/>
  <c r="X52" i="1"/>
  <c r="V52" i="1"/>
  <c r="U52" i="1"/>
  <c r="T52" i="1"/>
  <c r="P52" i="1"/>
  <c r="AD51" i="1"/>
  <c r="Z51" i="1"/>
  <c r="Y51" i="1"/>
  <c r="X51" i="1"/>
  <c r="P51" i="1"/>
  <c r="AD50" i="1"/>
  <c r="Y50" i="1"/>
  <c r="X50" i="1"/>
  <c r="U50" i="1"/>
  <c r="T50" i="1"/>
  <c r="P50" i="1"/>
  <c r="AD49" i="1"/>
  <c r="Z49" i="1"/>
  <c r="Y49" i="1"/>
  <c r="X49" i="1"/>
  <c r="U49" i="1"/>
  <c r="T49" i="1"/>
  <c r="P49" i="1"/>
  <c r="E48" i="2"/>
  <c r="F48" i="2"/>
  <c r="H48" i="2"/>
  <c r="AC6" i="2"/>
  <c r="R13" i="2"/>
  <c r="N14" i="2"/>
  <c r="M14" i="2"/>
  <c r="L14" i="2"/>
  <c r="K14" i="2"/>
  <c r="J14" i="2"/>
  <c r="I14" i="2"/>
  <c r="H14" i="2"/>
  <c r="G14" i="2"/>
  <c r="F14" i="2"/>
  <c r="E14" i="2"/>
  <c r="D14" i="2"/>
  <c r="C14" i="2"/>
  <c r="O13" i="2"/>
  <c r="O12" i="2"/>
  <c r="F50" i="2"/>
  <c r="G48" i="2"/>
  <c r="AC5" i="2"/>
  <c r="O102" i="1"/>
  <c r="AD41" i="1"/>
  <c r="AD40" i="1"/>
  <c r="AD39" i="1"/>
  <c r="AD38" i="1"/>
  <c r="AD37" i="1"/>
  <c r="AD36" i="1"/>
  <c r="AD35" i="1"/>
  <c r="AD34" i="1"/>
  <c r="AD33" i="1"/>
  <c r="AD32" i="1"/>
  <c r="AB6" i="2"/>
  <c r="AB5" i="2"/>
  <c r="N102" i="1"/>
  <c r="AC36" i="1"/>
  <c r="AC37" i="1"/>
  <c r="AC38" i="1"/>
  <c r="AC39" i="1"/>
  <c r="AC40" i="1"/>
  <c r="AC41" i="1"/>
  <c r="AC35" i="1"/>
  <c r="AC33" i="1"/>
  <c r="AB39" i="1"/>
  <c r="AB41" i="1"/>
  <c r="AB40" i="1"/>
  <c r="AB38" i="1"/>
  <c r="AB37" i="1"/>
  <c r="AB36" i="1"/>
  <c r="AB35" i="1"/>
  <c r="AB34" i="1"/>
  <c r="AB33" i="1"/>
  <c r="AB32" i="1"/>
  <c r="M102" i="1"/>
  <c r="C45" i="2"/>
  <c r="C38" i="2"/>
  <c r="D38" i="2"/>
  <c r="F38" i="2"/>
  <c r="G38" i="2"/>
  <c r="H38" i="2"/>
  <c r="I38" i="2"/>
  <c r="J38" i="2"/>
  <c r="K38" i="2"/>
  <c r="O23" i="2"/>
  <c r="AD5" i="2"/>
  <c r="N7" i="2"/>
  <c r="M7" i="2"/>
  <c r="L7" i="2"/>
  <c r="K7" i="2"/>
  <c r="J7" i="2"/>
  <c r="I7" i="2"/>
  <c r="H7" i="2"/>
  <c r="G7" i="2"/>
  <c r="F7" i="2"/>
  <c r="E7" i="2"/>
  <c r="D7" i="2"/>
  <c r="C7" i="2"/>
  <c r="O6" i="2"/>
  <c r="O5" i="2"/>
  <c r="L102" i="1"/>
  <c r="AA32" i="1"/>
  <c r="AA35" i="1"/>
  <c r="AA36" i="1"/>
  <c r="AA37" i="1"/>
  <c r="Z37" i="1"/>
  <c r="AA38" i="1"/>
  <c r="AA39" i="1"/>
  <c r="AA41" i="1"/>
  <c r="AA40" i="1"/>
  <c r="Z33" i="1"/>
  <c r="K102" i="1"/>
  <c r="Z41" i="1"/>
  <c r="Z40" i="1"/>
  <c r="Z39" i="1"/>
  <c r="Z38" i="1"/>
  <c r="Z36" i="1"/>
  <c r="Z35" i="1"/>
  <c r="Z34" i="1"/>
  <c r="AE51" i="1" l="1"/>
  <c r="AE56" i="1"/>
  <c r="AE54" i="1"/>
  <c r="AE57" i="1"/>
  <c r="AE55" i="1"/>
  <c r="AE58" i="1"/>
  <c r="AE50" i="1"/>
  <c r="AE49" i="1"/>
  <c r="AE52" i="1"/>
  <c r="AE53" i="1"/>
  <c r="P63" i="1"/>
  <c r="O14" i="2"/>
  <c r="F51" i="2"/>
  <c r="AD6" i="2"/>
  <c r="O38" i="2"/>
  <c r="O7" i="2"/>
  <c r="Y37" i="1"/>
  <c r="Y38" i="1"/>
  <c r="Y39" i="1"/>
  <c r="Y40" i="1"/>
  <c r="Y41" i="1"/>
  <c r="Y36" i="1"/>
  <c r="Y35" i="1"/>
  <c r="J102" i="1"/>
  <c r="D141" i="1" l="1"/>
  <c r="D145" i="1" s="1"/>
  <c r="X41" i="1"/>
  <c r="W41" i="1"/>
  <c r="V41" i="1"/>
  <c r="U41" i="1"/>
  <c r="T41" i="1"/>
  <c r="S41" i="1"/>
  <c r="X40" i="1"/>
  <c r="W40" i="1"/>
  <c r="V40" i="1"/>
  <c r="U40" i="1"/>
  <c r="W39" i="1"/>
  <c r="X39" i="1"/>
  <c r="V39" i="1"/>
  <c r="U39" i="1"/>
  <c r="T39" i="1"/>
  <c r="S39" i="1"/>
  <c r="X37" i="1"/>
  <c r="W37" i="1"/>
  <c r="T37" i="1"/>
  <c r="V37" i="1"/>
  <c r="U37" i="1"/>
  <c r="S37" i="1"/>
  <c r="X38" i="1"/>
  <c r="W38" i="1"/>
  <c r="V38" i="1"/>
  <c r="U38" i="1"/>
  <c r="T38" i="1"/>
  <c r="S38" i="1"/>
  <c r="X36" i="1"/>
  <c r="V36" i="1"/>
  <c r="W36" i="1"/>
  <c r="U36" i="1"/>
  <c r="P40" i="1"/>
  <c r="T36" i="1"/>
  <c r="S36" i="1"/>
  <c r="X35" i="1"/>
  <c r="W35" i="1"/>
  <c r="V35" i="1"/>
  <c r="U35" i="1"/>
  <c r="T35" i="1"/>
  <c r="S35" i="1"/>
  <c r="T40" i="1"/>
  <c r="S40" i="1"/>
  <c r="Y33" i="1"/>
  <c r="AA33" i="1"/>
  <c r="Y32" i="1"/>
  <c r="Z32" i="1"/>
  <c r="AC32" i="1"/>
  <c r="X33" i="1"/>
  <c r="W33" i="1"/>
  <c r="V33" i="1"/>
  <c r="U33" i="1"/>
  <c r="T33" i="1"/>
  <c r="S33" i="1"/>
  <c r="T32" i="1"/>
  <c r="U32" i="1"/>
  <c r="X32" i="1"/>
  <c r="W32" i="1"/>
  <c r="V32" i="1"/>
  <c r="X34" i="1"/>
  <c r="W34" i="1"/>
  <c r="V34" i="1"/>
  <c r="U34" i="1"/>
  <c r="T34" i="1"/>
  <c r="S32" i="1"/>
  <c r="AC34" i="1"/>
  <c r="AA34" i="1"/>
  <c r="Y34" i="1"/>
  <c r="S34" i="1"/>
  <c r="I102" i="1"/>
  <c r="H102" i="1"/>
  <c r="P41" i="1"/>
  <c r="P39" i="1"/>
  <c r="P38" i="1"/>
  <c r="P37" i="1"/>
  <c r="P36" i="1"/>
  <c r="P35" i="1"/>
  <c r="P34" i="1"/>
  <c r="P33" i="1"/>
  <c r="P32" i="1"/>
  <c r="E145" i="1"/>
  <c r="G102" i="1"/>
  <c r="F102" i="1"/>
  <c r="E102" i="1"/>
  <c r="D102" i="1"/>
  <c r="AE26" i="1"/>
  <c r="P26" i="1"/>
  <c r="AD20" i="1"/>
  <c r="AC20" i="1"/>
  <c r="AB20" i="1"/>
  <c r="AA20" i="1"/>
  <c r="D27" i="1"/>
  <c r="E27" i="1"/>
  <c r="F27" i="1"/>
  <c r="G27" i="1"/>
  <c r="H27" i="1"/>
  <c r="I27" i="1"/>
  <c r="J27" i="1"/>
  <c r="K27" i="1"/>
  <c r="L27" i="1"/>
  <c r="M27" i="1"/>
  <c r="N27" i="1"/>
  <c r="O27" i="1"/>
  <c r="P18" i="1"/>
  <c r="P19" i="1"/>
  <c r="P20" i="1"/>
  <c r="P23" i="1"/>
  <c r="P24" i="1"/>
  <c r="P25" i="1"/>
  <c r="AD23" i="1"/>
  <c r="AC23" i="1"/>
  <c r="AB23" i="1"/>
  <c r="Z23" i="1"/>
  <c r="AA23" i="1"/>
  <c r="Y23" i="1"/>
  <c r="X23" i="1"/>
  <c r="AE25" i="1"/>
  <c r="Z20" i="1"/>
  <c r="Y20" i="1"/>
  <c r="X20" i="1"/>
  <c r="P22" i="1"/>
  <c r="P21" i="1"/>
  <c r="AE24" i="1"/>
  <c r="AE22" i="1"/>
  <c r="AE21" i="1"/>
  <c r="AE19" i="1"/>
  <c r="AE18" i="1"/>
  <c r="D13" i="1"/>
  <c r="E13" i="1"/>
  <c r="F13" i="1"/>
  <c r="G13" i="1"/>
  <c r="H13" i="1"/>
  <c r="I13" i="1"/>
  <c r="J13" i="1"/>
  <c r="K13" i="1"/>
  <c r="L13" i="1"/>
  <c r="M13" i="1"/>
  <c r="N13" i="1"/>
  <c r="O13" i="1"/>
  <c r="P6" i="1"/>
  <c r="P7" i="1"/>
  <c r="P8" i="1"/>
  <c r="P9" i="1"/>
  <c r="P10" i="1"/>
  <c r="P11" i="1"/>
  <c r="P12" i="1"/>
  <c r="AE12" i="1"/>
  <c r="AE11" i="1"/>
  <c r="AE10" i="1"/>
  <c r="AE9" i="1"/>
  <c r="AE8" i="1"/>
  <c r="AE7" i="1"/>
  <c r="AE6" i="1"/>
  <c r="AE41" i="1" l="1"/>
  <c r="AE37" i="1"/>
  <c r="AE36" i="1"/>
  <c r="AE40" i="1"/>
  <c r="AE35" i="1"/>
  <c r="AE38" i="1"/>
  <c r="AE39" i="1"/>
  <c r="AE32" i="1"/>
  <c r="AE34" i="1"/>
  <c r="AE33" i="1"/>
  <c r="P44" i="1"/>
  <c r="P13" i="1"/>
  <c r="P27" i="1"/>
  <c r="AE23" i="1"/>
  <c r="AE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Fortes</author>
  </authors>
  <commentList>
    <comment ref="O38" authorId="0" shapeId="0" xr:uid="{9ACEAFC0-531A-464B-88DD-C4E1BD432DFB}">
      <text>
        <r>
          <rPr>
            <b/>
            <sz val="9"/>
            <color indexed="81"/>
            <rFont val="Segoe UI"/>
            <family val="2"/>
          </rPr>
          <t>Lucas Fortes:</t>
        </r>
        <r>
          <rPr>
            <sz val="9"/>
            <color indexed="81"/>
            <rFont val="Segoe UI"/>
            <family val="2"/>
          </rPr>
          <t xml:space="preserve">
TEVE UMA RECEITA DE 50K DA CERVEJARIA PETROPOLIS QUE ENTROU REFERENTE A META BATIDA DA PETROPOLIS</t>
        </r>
      </text>
    </comment>
  </commentList>
</comments>
</file>

<file path=xl/sharedStrings.xml><?xml version="1.0" encoding="utf-8"?>
<sst xmlns="http://schemas.openxmlformats.org/spreadsheetml/2006/main" count="276" uniqueCount="45">
  <si>
    <t>FATURAMENTO</t>
  </si>
  <si>
    <t>TICKET MÉDIO</t>
  </si>
  <si>
    <t>LOJAS</t>
  </si>
  <si>
    <t>TOTAL</t>
  </si>
  <si>
    <t>MÉDIA</t>
  </si>
  <si>
    <t>MARISTA</t>
  </si>
  <si>
    <t>ALPHA</t>
  </si>
  <si>
    <t>PIZZA</t>
  </si>
  <si>
    <t>PASSEIO</t>
  </si>
  <si>
    <t>STEAK</t>
  </si>
  <si>
    <t>BUENO</t>
  </si>
  <si>
    <t>PETRA</t>
  </si>
  <si>
    <t>O SANTO</t>
  </si>
  <si>
    <t>CERRADO</t>
  </si>
  <si>
    <t>MP BURITI</t>
  </si>
  <si>
    <t>IMPOSTOS SIMPLES NACIONAL</t>
  </si>
  <si>
    <t>mai-24</t>
  </si>
  <si>
    <t xml:space="preserve">ALUGUEL </t>
  </si>
  <si>
    <t>CONDOMINIO</t>
  </si>
  <si>
    <t>MP BURITI - SEM DESCONTO</t>
  </si>
  <si>
    <t xml:space="preserve">MP BURITI - COM DESCONTO </t>
  </si>
  <si>
    <t>ATUALMENTE COM DESCONTO CONFORME O CONTRATO DE LOCAÇÃO</t>
  </si>
  <si>
    <t>NÃO TEM</t>
  </si>
  <si>
    <t>ATUALMENTE ESTAMOS PAGANDO SOMENTE O CONDOMINIO</t>
  </si>
  <si>
    <t>MADALENA</t>
  </si>
  <si>
    <t>ALMA</t>
  </si>
  <si>
    <t>IMPOSTOS</t>
  </si>
  <si>
    <t>ENERGIA</t>
  </si>
  <si>
    <t>AGUA</t>
  </si>
  <si>
    <t>SANTO</t>
  </si>
  <si>
    <t>COUVERT - MADALENA</t>
  </si>
  <si>
    <t>TAXA DE ROYALTES 2%</t>
  </si>
  <si>
    <t>ALMA BOUTIQUE</t>
  </si>
  <si>
    <t>PIS</t>
  </si>
  <si>
    <t>COFINS</t>
  </si>
  <si>
    <t>PROTEGE</t>
  </si>
  <si>
    <t>ICMS</t>
  </si>
  <si>
    <t>CSLL</t>
  </si>
  <si>
    <t>IRPJ</t>
  </si>
  <si>
    <t>MALIBU</t>
  </si>
  <si>
    <t>CORPORATIVO</t>
  </si>
  <si>
    <t>ALUGUEL ADM ESCRITORIO</t>
  </si>
  <si>
    <t>GIULI</t>
  </si>
  <si>
    <t>ou/25</t>
  </si>
  <si>
    <t>PIZZA MARISTA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</si>
</sst>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505050"/>
      <name val="Segoe UI"/>
      <family val="2"/>
    </font>
    <font>
      <sz val="11"/>
      <color rgb="FF505050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8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164" fontId="0" fillId="0" borderId="1" xfId="0" applyNumberFormat="1" applyBorder="1"/>
    <xf numFmtId="17" fontId="2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/>
    <xf numFmtId="17" fontId="2" fillId="2" borderId="1" xfId="0" applyNumberFormat="1" applyFont="1" applyFill="1" applyBorder="1"/>
    <xf numFmtId="164" fontId="2" fillId="2" borderId="1" xfId="0" applyNumberFormat="1" applyFont="1" applyFill="1" applyBorder="1"/>
    <xf numFmtId="0" fontId="0" fillId="2" borderId="1" xfId="0" applyFill="1" applyBorder="1"/>
    <xf numFmtId="164" fontId="0" fillId="0" borderId="0" xfId="0" applyNumberFormat="1"/>
    <xf numFmtId="10" fontId="0" fillId="0" borderId="0" xfId="1" applyNumberFormat="1" applyFont="1"/>
    <xf numFmtId="9" fontId="0" fillId="0" borderId="0" xfId="0" applyNumberFormat="1"/>
    <xf numFmtId="164" fontId="0" fillId="0" borderId="1" xfId="0" applyNumberFormat="1" applyBorder="1" applyAlignment="1">
      <alignment horizontal="center"/>
    </xf>
    <xf numFmtId="0" fontId="2" fillId="3" borderId="1" xfId="0" applyFont="1" applyFill="1" applyBorder="1"/>
    <xf numFmtId="164" fontId="0" fillId="3" borderId="1" xfId="0" applyNumberFormat="1" applyFill="1" applyBorder="1"/>
    <xf numFmtId="0" fontId="0" fillId="3" borderId="0" xfId="0" applyFill="1"/>
    <xf numFmtId="0" fontId="2" fillId="4" borderId="1" xfId="0" applyFont="1" applyFill="1" applyBorder="1"/>
    <xf numFmtId="164" fontId="0" fillId="4" borderId="1" xfId="0" applyNumberFormat="1" applyFill="1" applyBorder="1"/>
    <xf numFmtId="0" fontId="2" fillId="5" borderId="0" xfId="0" applyFont="1" applyFill="1"/>
    <xf numFmtId="0" fontId="0" fillId="5" borderId="0" xfId="0" applyFill="1"/>
    <xf numFmtId="164" fontId="0" fillId="5" borderId="0" xfId="0" applyNumberFormat="1" applyFill="1"/>
    <xf numFmtId="164" fontId="2" fillId="0" borderId="0" xfId="0" applyNumberFormat="1" applyFont="1"/>
    <xf numFmtId="0" fontId="0" fillId="0" borderId="1" xfId="0" applyBorder="1"/>
    <xf numFmtId="17" fontId="0" fillId="0" borderId="1" xfId="0" applyNumberFormat="1" applyBorder="1"/>
    <xf numFmtId="44" fontId="3" fillId="6" borderId="1" xfId="2" applyFont="1" applyFill="1" applyBorder="1" applyAlignment="1">
      <alignment horizontal="left" vertical="top" wrapText="1"/>
    </xf>
    <xf numFmtId="44" fontId="4" fillId="6" borderId="1" xfId="2" applyFont="1" applyFill="1" applyBorder="1" applyAlignment="1">
      <alignment horizontal="left" vertical="top" wrapText="1"/>
    </xf>
    <xf numFmtId="44" fontId="4" fillId="6" borderId="2" xfId="2" applyFont="1" applyFill="1" applyBorder="1" applyAlignment="1">
      <alignment horizontal="left" vertical="top" wrapText="1"/>
    </xf>
    <xf numFmtId="0" fontId="0" fillId="7" borderId="1" xfId="0" applyFill="1" applyBorder="1"/>
    <xf numFmtId="0" fontId="2" fillId="0" borderId="1" xfId="0" applyFont="1" applyBorder="1" applyAlignment="1">
      <alignment horizontal="center"/>
    </xf>
    <xf numFmtId="43" fontId="0" fillId="0" borderId="0" xfId="3" applyFont="1"/>
    <xf numFmtId="44" fontId="0" fillId="0" borderId="0" xfId="2" applyFont="1" applyFill="1" applyBorder="1"/>
    <xf numFmtId="44" fontId="0" fillId="0" borderId="0" xfId="2" applyFont="1"/>
    <xf numFmtId="44" fontId="0" fillId="0" borderId="3" xfId="2" applyFont="1" applyBorder="1"/>
    <xf numFmtId="44" fontId="0" fillId="0" borderId="4" xfId="2" applyFont="1" applyBorder="1"/>
    <xf numFmtId="44" fontId="0" fillId="0" borderId="5" xfId="2" applyFont="1" applyBorder="1"/>
    <xf numFmtId="0" fontId="7" fillId="0" borderId="0" xfId="0" applyFont="1"/>
    <xf numFmtId="0" fontId="8" fillId="0" borderId="0" xfId="0" applyFont="1"/>
    <xf numFmtId="0" fontId="7" fillId="2" borderId="1" xfId="0" applyFont="1" applyFill="1" applyBorder="1"/>
    <xf numFmtId="17" fontId="7" fillId="2" borderId="1" xfId="0" applyNumberFormat="1" applyFont="1" applyFill="1" applyBorder="1"/>
    <xf numFmtId="0" fontId="7" fillId="0" borderId="1" xfId="0" applyFont="1" applyBorder="1"/>
    <xf numFmtId="164" fontId="8" fillId="0" borderId="1" xfId="0" applyNumberFormat="1" applyFont="1" applyBorder="1"/>
    <xf numFmtId="164" fontId="7" fillId="0" borderId="1" xfId="0" applyNumberFormat="1" applyFont="1" applyBorder="1"/>
    <xf numFmtId="164" fontId="7" fillId="2" borderId="1" xfId="0" applyNumberFormat="1" applyFont="1" applyFill="1" applyBorder="1"/>
    <xf numFmtId="0" fontId="8" fillId="2" borderId="1" xfId="0" applyFont="1" applyFill="1" applyBorder="1"/>
    <xf numFmtId="0" fontId="7" fillId="3" borderId="1" xfId="0" applyFont="1" applyFill="1" applyBorder="1"/>
    <xf numFmtId="164" fontId="8" fillId="3" borderId="1" xfId="0" applyNumberFormat="1" applyFont="1" applyFill="1" applyBorder="1"/>
    <xf numFmtId="164" fontId="7" fillId="3" borderId="1" xfId="0" applyNumberFormat="1" applyFont="1" applyFill="1" applyBorder="1"/>
    <xf numFmtId="0" fontId="7" fillId="5" borderId="0" xfId="0" applyFont="1" applyFill="1"/>
    <xf numFmtId="0" fontId="8" fillId="5" borderId="0" xfId="0" applyFont="1" applyFill="1"/>
    <xf numFmtId="0" fontId="7" fillId="4" borderId="1" xfId="0" applyFont="1" applyFill="1" applyBorder="1"/>
    <xf numFmtId="164" fontId="8" fillId="4" borderId="1" xfId="0" applyNumberFormat="1" applyFont="1" applyFill="1" applyBorder="1"/>
    <xf numFmtId="10" fontId="0" fillId="0" borderId="0" xfId="0" applyNumberFormat="1"/>
    <xf numFmtId="165" fontId="0" fillId="0" borderId="0" xfId="1" applyNumberFormat="1" applyFont="1"/>
    <xf numFmtId="44" fontId="0" fillId="0" borderId="0" xfId="0" applyNumberFormat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4">
    <cellStyle name="Moeda" xfId="2" builtinId="4"/>
    <cellStyle name="Normal" xfId="0" builtinId="0"/>
    <cellStyle name="Porcentagem" xfId="1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158</xdr:row>
      <xdr:rowOff>0</xdr:rowOff>
    </xdr:from>
    <xdr:to>
      <xdr:col>13</xdr:col>
      <xdr:colOff>154772</xdr:colOff>
      <xdr:row>184</xdr:row>
      <xdr:rowOff>111262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E8EC33-812A-AA55-94C7-59E24759A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643" y="15743464"/>
          <a:ext cx="13171428" cy="47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FACA-9FD3-4586-87D8-EE749D88C425}">
  <sheetPr>
    <pageSetUpPr fitToPage="1"/>
  </sheetPr>
  <dimension ref="C3:AE157"/>
  <sheetViews>
    <sheetView showGridLines="0" tabSelected="1" topLeftCell="A67" zoomScale="85" zoomScaleNormal="85" workbookViewId="0">
      <selection activeCell="C68" sqref="C68:E75"/>
    </sheetView>
  </sheetViews>
  <sheetFormatPr defaultRowHeight="14.4" x14ac:dyDescent="0.3"/>
  <cols>
    <col min="3" max="3" width="28.33203125" style="4" bestFit="1" customWidth="1"/>
    <col min="4" max="5" width="16.44140625" customWidth="1"/>
    <col min="6" max="6" width="16.33203125" customWidth="1"/>
    <col min="7" max="13" width="15.88671875" customWidth="1"/>
    <col min="14" max="15" width="15.88671875" bestFit="1" customWidth="1"/>
    <col min="16" max="16" width="26.21875" customWidth="1"/>
    <col min="17" max="17" width="14" bestFit="1" customWidth="1"/>
    <col min="18" max="18" width="15.44140625" bestFit="1" customWidth="1"/>
    <col min="19" max="19" width="19.33203125" bestFit="1" customWidth="1"/>
    <col min="20" max="20" width="14.109375" bestFit="1" customWidth="1"/>
    <col min="21" max="21" width="25.6640625" bestFit="1" customWidth="1"/>
    <col min="22" max="22" width="17.5546875" bestFit="1" customWidth="1"/>
    <col min="23" max="23" width="14.5546875" bestFit="1" customWidth="1"/>
    <col min="24" max="24" width="12.88671875" bestFit="1" customWidth="1"/>
    <col min="25" max="25" width="17.88671875" bestFit="1" customWidth="1"/>
    <col min="26" max="26" width="12.88671875" customWidth="1"/>
    <col min="27" max="27" width="13.109375" customWidth="1"/>
    <col min="28" max="30" width="12.88671875" customWidth="1"/>
    <col min="31" max="31" width="12.88671875" bestFit="1" customWidth="1"/>
  </cols>
  <sheetData>
    <row r="3" spans="3:31" x14ac:dyDescent="0.3">
      <c r="C3" s="35" t="s">
        <v>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S3" t="s">
        <v>1</v>
      </c>
    </row>
    <row r="4" spans="3:31" x14ac:dyDescent="0.3"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</row>
    <row r="5" spans="3:31" x14ac:dyDescent="0.3">
      <c r="C5" s="37" t="s">
        <v>2</v>
      </c>
      <c r="D5" s="38">
        <v>44562</v>
      </c>
      <c r="E5" s="38">
        <v>44593</v>
      </c>
      <c r="F5" s="38">
        <v>44621</v>
      </c>
      <c r="G5" s="38">
        <v>44652</v>
      </c>
      <c r="H5" s="38">
        <v>44682</v>
      </c>
      <c r="I5" s="38">
        <v>44713</v>
      </c>
      <c r="J5" s="38">
        <v>44743</v>
      </c>
      <c r="K5" s="38">
        <v>44774</v>
      </c>
      <c r="L5" s="38">
        <v>44805</v>
      </c>
      <c r="M5" s="38">
        <v>44835</v>
      </c>
      <c r="N5" s="38">
        <v>44866</v>
      </c>
      <c r="O5" s="38">
        <v>44896</v>
      </c>
      <c r="P5" s="37" t="s">
        <v>3</v>
      </c>
      <c r="Q5" s="4"/>
      <c r="R5" s="3" t="s">
        <v>2</v>
      </c>
      <c r="S5" s="2">
        <v>44562</v>
      </c>
      <c r="T5" s="2">
        <v>44593</v>
      </c>
      <c r="U5" s="2">
        <v>44621</v>
      </c>
      <c r="V5" s="2">
        <v>44652</v>
      </c>
      <c r="W5" s="2">
        <v>44682</v>
      </c>
      <c r="X5" s="2">
        <v>44713</v>
      </c>
      <c r="Y5" s="2">
        <v>44743</v>
      </c>
      <c r="Z5" s="2">
        <v>44774</v>
      </c>
      <c r="AA5" s="2">
        <v>44805</v>
      </c>
      <c r="AB5" s="2">
        <v>44835</v>
      </c>
      <c r="AC5" s="2">
        <v>44866</v>
      </c>
      <c r="AD5" s="2">
        <v>44896</v>
      </c>
      <c r="AE5" s="3" t="s">
        <v>4</v>
      </c>
    </row>
    <row r="6" spans="3:31" x14ac:dyDescent="0.3">
      <c r="C6" s="39" t="s">
        <v>5</v>
      </c>
      <c r="D6" s="40">
        <v>123077</v>
      </c>
      <c r="E6" s="40">
        <v>105107</v>
      </c>
      <c r="F6" s="40">
        <v>138749</v>
      </c>
      <c r="G6" s="40">
        <v>185275</v>
      </c>
      <c r="H6" s="40">
        <v>218060</v>
      </c>
      <c r="I6" s="40">
        <v>234589</v>
      </c>
      <c r="J6" s="40">
        <v>265009</v>
      </c>
      <c r="K6" s="40">
        <v>288341</v>
      </c>
      <c r="L6" s="40">
        <v>305604</v>
      </c>
      <c r="M6" s="40">
        <v>302015</v>
      </c>
      <c r="N6" s="40">
        <v>250696</v>
      </c>
      <c r="O6" s="40">
        <v>253418</v>
      </c>
      <c r="P6" s="41">
        <f t="shared" ref="P6:P13" si="0">SUM(D6:O6)</f>
        <v>2669940</v>
      </c>
      <c r="R6" s="3" t="s">
        <v>5</v>
      </c>
      <c r="S6" s="1">
        <v>101.46</v>
      </c>
      <c r="T6" s="1">
        <v>97.96</v>
      </c>
      <c r="U6" s="1">
        <v>117.98</v>
      </c>
      <c r="V6" s="1">
        <v>112.08</v>
      </c>
      <c r="W6" s="1">
        <v>102.71</v>
      </c>
      <c r="X6" s="1">
        <v>94.02</v>
      </c>
      <c r="Y6" s="1">
        <v>91.07</v>
      </c>
      <c r="Z6" s="1">
        <v>90.56</v>
      </c>
      <c r="AA6" s="1">
        <v>90.39</v>
      </c>
      <c r="AB6" s="1">
        <v>95.7</v>
      </c>
      <c r="AC6" s="1">
        <v>83.4</v>
      </c>
      <c r="AD6" s="1">
        <v>87.24</v>
      </c>
      <c r="AE6" s="1">
        <f>AVERAGE(S6:AD6)</f>
        <v>97.047499999999999</v>
      </c>
    </row>
    <row r="7" spans="3:31" x14ac:dyDescent="0.3">
      <c r="C7" s="39" t="s">
        <v>6</v>
      </c>
      <c r="D7" s="40">
        <v>117035</v>
      </c>
      <c r="E7" s="40">
        <v>136001</v>
      </c>
      <c r="F7" s="40">
        <v>109287</v>
      </c>
      <c r="G7" s="40">
        <v>129788</v>
      </c>
      <c r="H7" s="40">
        <v>112491</v>
      </c>
      <c r="I7" s="40">
        <v>117168</v>
      </c>
      <c r="J7" s="40">
        <v>115385</v>
      </c>
      <c r="K7" s="40">
        <v>121424</v>
      </c>
      <c r="L7" s="40">
        <v>120872</v>
      </c>
      <c r="M7" s="40">
        <v>1201247</v>
      </c>
      <c r="N7" s="40">
        <v>110918</v>
      </c>
      <c r="O7" s="40">
        <v>129845</v>
      </c>
      <c r="P7" s="41">
        <f t="shared" si="0"/>
        <v>2521461</v>
      </c>
      <c r="R7" s="3" t="s">
        <v>6</v>
      </c>
      <c r="S7" s="1">
        <v>158.37</v>
      </c>
      <c r="T7" s="1">
        <v>167.7</v>
      </c>
      <c r="U7" s="1">
        <v>159.78</v>
      </c>
      <c r="V7" s="1">
        <v>167.68</v>
      </c>
      <c r="W7" s="1">
        <v>166.9</v>
      </c>
      <c r="X7" s="1">
        <v>171.55</v>
      </c>
      <c r="Y7" s="1">
        <v>166.98</v>
      </c>
      <c r="Z7" s="1">
        <v>182.59</v>
      </c>
      <c r="AA7" s="1">
        <v>166.95</v>
      </c>
      <c r="AB7" s="1">
        <v>172.03</v>
      </c>
      <c r="AC7" s="1">
        <v>155.78</v>
      </c>
      <c r="AD7" s="1">
        <v>182.88</v>
      </c>
      <c r="AE7" s="1">
        <f t="shared" ref="AE7:AE12" si="1">AVERAGE(S7:AD7)</f>
        <v>168.26583333333335</v>
      </c>
    </row>
    <row r="8" spans="3:31" x14ac:dyDescent="0.3">
      <c r="C8" s="39" t="s">
        <v>7</v>
      </c>
      <c r="D8" s="40">
        <v>64092</v>
      </c>
      <c r="E8" s="40">
        <v>80360</v>
      </c>
      <c r="F8" s="40">
        <v>86654</v>
      </c>
      <c r="G8" s="40">
        <v>101864</v>
      </c>
      <c r="H8" s="40">
        <v>110487</v>
      </c>
      <c r="I8" s="40">
        <v>115883</v>
      </c>
      <c r="J8" s="40">
        <v>142070</v>
      </c>
      <c r="K8" s="40">
        <v>98027</v>
      </c>
      <c r="L8" s="40">
        <v>110463</v>
      </c>
      <c r="M8" s="40">
        <v>134324</v>
      </c>
      <c r="N8" s="40">
        <v>127589</v>
      </c>
      <c r="O8" s="40">
        <v>163641</v>
      </c>
      <c r="P8" s="41">
        <f t="shared" si="0"/>
        <v>1335454</v>
      </c>
      <c r="R8" s="3" t="s">
        <v>7</v>
      </c>
      <c r="S8" s="1">
        <v>34.35</v>
      </c>
      <c r="T8" s="1">
        <v>35.35</v>
      </c>
      <c r="U8" s="1">
        <v>37.69</v>
      </c>
      <c r="V8" s="1">
        <v>38.94</v>
      </c>
      <c r="W8" s="1">
        <v>41.4</v>
      </c>
      <c r="X8" s="1">
        <v>48.3</v>
      </c>
      <c r="Y8" s="1">
        <v>54.79</v>
      </c>
      <c r="Z8" s="1">
        <v>50.79</v>
      </c>
      <c r="AA8" s="1">
        <v>50.16</v>
      </c>
      <c r="AB8" s="1">
        <v>48.37</v>
      </c>
      <c r="AC8" s="1">
        <v>48.59</v>
      </c>
      <c r="AD8" s="1">
        <v>49.65</v>
      </c>
      <c r="AE8" s="1">
        <f t="shared" si="1"/>
        <v>44.865000000000002</v>
      </c>
    </row>
    <row r="9" spans="3:31" x14ac:dyDescent="0.3">
      <c r="C9" s="39" t="s">
        <v>8</v>
      </c>
      <c r="D9" s="40">
        <v>500317</v>
      </c>
      <c r="E9" s="40">
        <v>461236</v>
      </c>
      <c r="F9" s="40">
        <v>486728</v>
      </c>
      <c r="G9" s="40">
        <v>555735</v>
      </c>
      <c r="H9" s="40">
        <v>584998</v>
      </c>
      <c r="I9" s="40">
        <v>564414</v>
      </c>
      <c r="J9" s="40">
        <v>641658</v>
      </c>
      <c r="K9" s="40">
        <v>487617</v>
      </c>
      <c r="L9" s="40">
        <v>570440</v>
      </c>
      <c r="M9" s="40">
        <v>665029</v>
      </c>
      <c r="N9" s="40">
        <v>620856</v>
      </c>
      <c r="O9" s="40">
        <v>782926</v>
      </c>
      <c r="P9" s="41">
        <f t="shared" si="0"/>
        <v>6921954</v>
      </c>
      <c r="R9" s="3" t="s">
        <v>8</v>
      </c>
      <c r="S9" s="1">
        <v>179.78</v>
      </c>
      <c r="T9" s="1">
        <v>177.53</v>
      </c>
      <c r="U9" s="1">
        <v>173.15</v>
      </c>
      <c r="V9" s="1">
        <v>176.42</v>
      </c>
      <c r="W9" s="1">
        <v>187.56</v>
      </c>
      <c r="X9" s="1">
        <v>180.5</v>
      </c>
      <c r="Y9" s="1">
        <v>189.73</v>
      </c>
      <c r="Z9" s="1">
        <v>189.37</v>
      </c>
      <c r="AA9" s="1">
        <v>193.24</v>
      </c>
      <c r="AB9" s="1">
        <v>184.58</v>
      </c>
      <c r="AC9" s="1">
        <v>179.18</v>
      </c>
      <c r="AD9" s="1">
        <v>180.274</v>
      </c>
      <c r="AE9" s="1">
        <f t="shared" si="1"/>
        <v>182.6095</v>
      </c>
    </row>
    <row r="10" spans="3:31" x14ac:dyDescent="0.3">
      <c r="C10" s="39" t="s">
        <v>9</v>
      </c>
      <c r="D10" s="40">
        <v>0</v>
      </c>
      <c r="E10" s="40">
        <v>351098</v>
      </c>
      <c r="F10" s="40">
        <v>459151</v>
      </c>
      <c r="G10" s="40">
        <v>482766</v>
      </c>
      <c r="H10" s="40">
        <v>467630</v>
      </c>
      <c r="I10" s="40">
        <v>441004</v>
      </c>
      <c r="J10" s="40">
        <v>463389</v>
      </c>
      <c r="K10" s="40">
        <v>450635</v>
      </c>
      <c r="L10" s="40">
        <v>486384</v>
      </c>
      <c r="M10" s="40">
        <v>492432</v>
      </c>
      <c r="N10" s="40">
        <v>489618</v>
      </c>
      <c r="O10" s="40">
        <v>555437</v>
      </c>
      <c r="P10" s="41">
        <f t="shared" si="0"/>
        <v>5139544</v>
      </c>
      <c r="R10" s="3" t="s">
        <v>9</v>
      </c>
      <c r="S10" s="1">
        <v>0</v>
      </c>
      <c r="T10" s="1">
        <v>198.7</v>
      </c>
      <c r="U10" s="1">
        <v>183.88</v>
      </c>
      <c r="V10" s="1">
        <v>185.68</v>
      </c>
      <c r="W10" s="1">
        <v>192.87</v>
      </c>
      <c r="X10" s="1">
        <v>181.93</v>
      </c>
      <c r="Y10" s="1">
        <v>180.73</v>
      </c>
      <c r="Z10" s="1">
        <v>165.25</v>
      </c>
      <c r="AA10" s="1">
        <v>165.77</v>
      </c>
      <c r="AB10" s="1">
        <v>164.03</v>
      </c>
      <c r="AC10" s="1">
        <v>157.94</v>
      </c>
      <c r="AD10" s="1">
        <v>169.75</v>
      </c>
      <c r="AE10" s="1">
        <f t="shared" si="1"/>
        <v>162.21083333333334</v>
      </c>
    </row>
    <row r="11" spans="3:31" x14ac:dyDescent="0.3">
      <c r="C11" s="39" t="s">
        <v>10</v>
      </c>
      <c r="D11" s="40">
        <v>394428</v>
      </c>
      <c r="E11" s="40">
        <v>395622</v>
      </c>
      <c r="F11" s="40">
        <v>317850</v>
      </c>
      <c r="G11" s="40">
        <v>281509</v>
      </c>
      <c r="H11" s="40">
        <v>260446</v>
      </c>
      <c r="I11" s="40">
        <v>244027</v>
      </c>
      <c r="J11" s="40">
        <v>249514</v>
      </c>
      <c r="K11" s="40">
        <v>265008</v>
      </c>
      <c r="L11" s="40">
        <v>256631</v>
      </c>
      <c r="M11" s="40">
        <v>261431</v>
      </c>
      <c r="N11" s="40">
        <v>235300</v>
      </c>
      <c r="O11" s="40">
        <v>255672</v>
      </c>
      <c r="P11" s="41">
        <f t="shared" si="0"/>
        <v>3417438</v>
      </c>
      <c r="R11" s="3" t="s">
        <v>10</v>
      </c>
      <c r="S11" s="1">
        <v>151.35</v>
      </c>
      <c r="T11" s="1">
        <v>150.13999999999999</v>
      </c>
      <c r="U11" s="1">
        <v>161.02000000000001</v>
      </c>
      <c r="V11" s="1">
        <v>173.34</v>
      </c>
      <c r="W11" s="1">
        <v>171.57</v>
      </c>
      <c r="X11" s="1">
        <v>172.95</v>
      </c>
      <c r="Y11" s="1">
        <v>188.74</v>
      </c>
      <c r="Z11" s="1">
        <v>168.9</v>
      </c>
      <c r="AA11" s="1">
        <v>163.04</v>
      </c>
      <c r="AB11" s="1">
        <v>177.48</v>
      </c>
      <c r="AC11" s="1">
        <v>173.65</v>
      </c>
      <c r="AD11" s="1">
        <v>181.36</v>
      </c>
      <c r="AE11" s="1">
        <f t="shared" si="1"/>
        <v>169.4616666666667</v>
      </c>
    </row>
    <row r="12" spans="3:31" x14ac:dyDescent="0.3">
      <c r="C12" s="39" t="s">
        <v>11</v>
      </c>
      <c r="D12" s="40">
        <v>452100</v>
      </c>
      <c r="E12" s="40">
        <v>430577</v>
      </c>
      <c r="F12" s="40">
        <v>426993</v>
      </c>
      <c r="G12" s="40">
        <v>457725</v>
      </c>
      <c r="H12" s="40">
        <v>453568</v>
      </c>
      <c r="I12" s="40">
        <v>426578</v>
      </c>
      <c r="J12" s="40">
        <v>507889</v>
      </c>
      <c r="K12" s="40">
        <v>394730</v>
      </c>
      <c r="L12" s="40">
        <v>438037</v>
      </c>
      <c r="M12" s="40">
        <v>557157</v>
      </c>
      <c r="N12" s="40">
        <v>492444</v>
      </c>
      <c r="O12" s="40">
        <v>551036</v>
      </c>
      <c r="P12" s="41">
        <f t="shared" si="0"/>
        <v>5588834</v>
      </c>
      <c r="R12" s="3" t="s">
        <v>11</v>
      </c>
      <c r="S12" s="1">
        <v>155.19999999999999</v>
      </c>
      <c r="T12" s="1">
        <v>154.94</v>
      </c>
      <c r="U12" s="1">
        <v>151.63</v>
      </c>
      <c r="V12" s="1">
        <v>146.75</v>
      </c>
      <c r="W12" s="1">
        <v>88.92</v>
      </c>
      <c r="X12" s="1">
        <v>141.06</v>
      </c>
      <c r="Y12" s="1">
        <v>145.03</v>
      </c>
      <c r="Z12" s="1">
        <v>141.22999999999999</v>
      </c>
      <c r="AA12" s="1">
        <v>131.58000000000001</v>
      </c>
      <c r="AB12" s="1">
        <v>141.30000000000001</v>
      </c>
      <c r="AC12" s="1">
        <v>142</v>
      </c>
      <c r="AD12" s="1">
        <v>147.06</v>
      </c>
      <c r="AE12" s="1">
        <f t="shared" si="1"/>
        <v>140.55833333333331</v>
      </c>
    </row>
    <row r="13" spans="3:31" x14ac:dyDescent="0.3">
      <c r="C13" s="37"/>
      <c r="D13" s="42">
        <f t="shared" ref="D13:O13" si="2">SUM(D6:D12)</f>
        <v>1651049</v>
      </c>
      <c r="E13" s="42">
        <f t="shared" si="2"/>
        <v>1960001</v>
      </c>
      <c r="F13" s="42">
        <f t="shared" si="2"/>
        <v>2025412</v>
      </c>
      <c r="G13" s="42">
        <f t="shared" si="2"/>
        <v>2194662</v>
      </c>
      <c r="H13" s="42">
        <f t="shared" si="2"/>
        <v>2207680</v>
      </c>
      <c r="I13" s="42">
        <f t="shared" si="2"/>
        <v>2143663</v>
      </c>
      <c r="J13" s="42">
        <f t="shared" si="2"/>
        <v>2384914</v>
      </c>
      <c r="K13" s="42">
        <f t="shared" si="2"/>
        <v>2105782</v>
      </c>
      <c r="L13" s="42">
        <f t="shared" si="2"/>
        <v>2288431</v>
      </c>
      <c r="M13" s="42">
        <f t="shared" si="2"/>
        <v>3613635</v>
      </c>
      <c r="N13" s="42">
        <f t="shared" si="2"/>
        <v>2327421</v>
      </c>
      <c r="O13" s="42">
        <f t="shared" si="2"/>
        <v>2691975</v>
      </c>
      <c r="P13" s="42">
        <f t="shared" si="0"/>
        <v>27594625</v>
      </c>
      <c r="R13" s="3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3:31" x14ac:dyDescent="0.3">
      <c r="C14" s="35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</row>
    <row r="15" spans="3:31" x14ac:dyDescent="0.3">
      <c r="C15" s="35" t="s">
        <v>0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S15" t="s">
        <v>1</v>
      </c>
    </row>
    <row r="16" spans="3:31" x14ac:dyDescent="0.3">
      <c r="C16" s="35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</row>
    <row r="17" spans="3:31" x14ac:dyDescent="0.3">
      <c r="C17" s="37" t="s">
        <v>2</v>
      </c>
      <c r="D17" s="38">
        <v>44927</v>
      </c>
      <c r="E17" s="38">
        <v>44958</v>
      </c>
      <c r="F17" s="38">
        <v>44986</v>
      </c>
      <c r="G17" s="38">
        <v>45017</v>
      </c>
      <c r="H17" s="38">
        <v>45047</v>
      </c>
      <c r="I17" s="38">
        <v>45078</v>
      </c>
      <c r="J17" s="38">
        <v>45108</v>
      </c>
      <c r="K17" s="38">
        <v>45139</v>
      </c>
      <c r="L17" s="38">
        <v>45170</v>
      </c>
      <c r="M17" s="38">
        <v>45200</v>
      </c>
      <c r="N17" s="38">
        <v>45231</v>
      </c>
      <c r="O17" s="38">
        <v>45261</v>
      </c>
      <c r="P17" s="43"/>
      <c r="R17" s="3" t="s">
        <v>2</v>
      </c>
      <c r="S17" s="2">
        <v>44927</v>
      </c>
      <c r="T17" s="2">
        <v>44958</v>
      </c>
      <c r="U17" s="2">
        <v>44986</v>
      </c>
      <c r="V17" s="2">
        <v>45017</v>
      </c>
      <c r="W17" s="2">
        <v>45047</v>
      </c>
      <c r="X17" s="2">
        <v>45078</v>
      </c>
      <c r="Y17" s="2">
        <v>45108</v>
      </c>
      <c r="Z17" s="2">
        <v>45139</v>
      </c>
      <c r="AA17" s="2">
        <v>45170</v>
      </c>
      <c r="AB17" s="2">
        <v>45200</v>
      </c>
      <c r="AC17" s="2">
        <v>45231</v>
      </c>
      <c r="AD17" s="2">
        <v>45261</v>
      </c>
      <c r="AE17" s="3" t="s">
        <v>4</v>
      </c>
    </row>
    <row r="18" spans="3:31" x14ac:dyDescent="0.3">
      <c r="C18" s="39" t="s">
        <v>5</v>
      </c>
      <c r="D18" s="40">
        <v>222909</v>
      </c>
      <c r="E18" s="40">
        <v>220341</v>
      </c>
      <c r="F18" s="40">
        <v>208169</v>
      </c>
      <c r="G18" s="40">
        <v>236964</v>
      </c>
      <c r="H18" s="40">
        <v>265656</v>
      </c>
      <c r="I18" s="40">
        <v>286726</v>
      </c>
      <c r="J18" s="40">
        <v>296898</v>
      </c>
      <c r="K18" s="40">
        <v>346791</v>
      </c>
      <c r="L18" s="40">
        <v>333540</v>
      </c>
      <c r="M18" s="40">
        <v>371342</v>
      </c>
      <c r="N18" s="40">
        <v>340810</v>
      </c>
      <c r="O18" s="40">
        <v>258492</v>
      </c>
      <c r="P18" s="41">
        <f t="shared" ref="P18:P27" si="3">SUM(D18:O18)</f>
        <v>3388638</v>
      </c>
      <c r="R18" s="3" t="s">
        <v>5</v>
      </c>
      <c r="S18" s="1">
        <v>80.680000000000007</v>
      </c>
      <c r="T18" s="1">
        <v>82.16</v>
      </c>
      <c r="U18" s="1">
        <v>84.52</v>
      </c>
      <c r="V18" s="1">
        <v>86.01</v>
      </c>
      <c r="W18" s="1">
        <v>84.28</v>
      </c>
      <c r="X18" s="1">
        <v>87.74</v>
      </c>
      <c r="Y18" s="1">
        <v>85.32</v>
      </c>
      <c r="Z18" s="1">
        <v>80.52</v>
      </c>
      <c r="AA18" s="1">
        <v>81.87</v>
      </c>
      <c r="AB18" s="1">
        <v>82.48</v>
      </c>
      <c r="AC18" s="1">
        <v>172.13</v>
      </c>
      <c r="AD18" s="1">
        <v>189.98</v>
      </c>
      <c r="AE18" s="1">
        <f>AVERAGE(S18:AD18)</f>
        <v>99.807500000000005</v>
      </c>
    </row>
    <row r="19" spans="3:31" s="15" customFormat="1" x14ac:dyDescent="0.3">
      <c r="C19" s="44" t="s">
        <v>7</v>
      </c>
      <c r="D19" s="45">
        <v>129721</v>
      </c>
      <c r="E19" s="45">
        <v>116196</v>
      </c>
      <c r="F19" s="45">
        <v>107702</v>
      </c>
      <c r="G19" s="45">
        <v>116761</v>
      </c>
      <c r="H19" s="45">
        <v>118458</v>
      </c>
      <c r="I19" s="45">
        <v>127585</v>
      </c>
      <c r="J19" s="45">
        <v>139901</v>
      </c>
      <c r="K19" s="45">
        <v>99772</v>
      </c>
      <c r="L19" s="45">
        <v>111786</v>
      </c>
      <c r="M19" s="45">
        <v>135519</v>
      </c>
      <c r="N19" s="45">
        <v>126770</v>
      </c>
      <c r="O19" s="45">
        <v>185424</v>
      </c>
      <c r="P19" s="46">
        <f t="shared" si="3"/>
        <v>1515595</v>
      </c>
      <c r="R19" s="13" t="s">
        <v>7</v>
      </c>
      <c r="S19" s="14">
        <v>42.09</v>
      </c>
      <c r="T19" s="14">
        <v>41.99</v>
      </c>
      <c r="U19" s="14">
        <v>42.72</v>
      </c>
      <c r="V19" s="14">
        <v>44.16</v>
      </c>
      <c r="W19" s="14">
        <v>44.65</v>
      </c>
      <c r="X19" s="14">
        <v>31.07</v>
      </c>
      <c r="Y19" s="14">
        <v>41.86</v>
      </c>
      <c r="Z19" s="14">
        <v>42.84</v>
      </c>
      <c r="AA19" s="14">
        <v>43.46</v>
      </c>
      <c r="AB19" s="14">
        <v>38.270000000000003</v>
      </c>
      <c r="AC19" s="14">
        <v>35.5</v>
      </c>
      <c r="AD19" s="14">
        <v>35.86</v>
      </c>
      <c r="AE19" s="14">
        <f t="shared" ref="AE19:AE26" si="4">AVERAGE(S19:AD19)</f>
        <v>40.372499999999995</v>
      </c>
    </row>
    <row r="20" spans="3:31" x14ac:dyDescent="0.3">
      <c r="C20" s="39" t="s">
        <v>6</v>
      </c>
      <c r="D20" s="40">
        <v>101765</v>
      </c>
      <c r="E20" s="40">
        <v>100649</v>
      </c>
      <c r="F20" s="40">
        <v>96122</v>
      </c>
      <c r="G20" s="40">
        <v>106194</v>
      </c>
      <c r="H20" s="40">
        <v>99666</v>
      </c>
      <c r="I20" s="40">
        <v>64415.73</v>
      </c>
      <c r="J20" s="40">
        <v>91133.29</v>
      </c>
      <c r="K20" s="40">
        <v>80611.78</v>
      </c>
      <c r="L20" s="40">
        <v>98526.98</v>
      </c>
      <c r="M20" s="40">
        <v>96035.81</v>
      </c>
      <c r="N20" s="40">
        <v>97987.87</v>
      </c>
      <c r="O20" s="40">
        <v>91756.160000000003</v>
      </c>
      <c r="P20" s="41">
        <f t="shared" si="3"/>
        <v>1124863.6200000001</v>
      </c>
      <c r="R20" s="3" t="s">
        <v>6</v>
      </c>
      <c r="S20" s="1">
        <v>173.66</v>
      </c>
      <c r="T20" s="1">
        <v>182.01</v>
      </c>
      <c r="U20" s="1">
        <v>200.25</v>
      </c>
      <c r="V20" s="1">
        <v>197.39</v>
      </c>
      <c r="W20" s="1">
        <v>205.92</v>
      </c>
      <c r="X20" s="1">
        <f>I20/352</f>
        <v>182.99923295454548</v>
      </c>
      <c r="Y20" s="1">
        <f>J20/468</f>
        <v>194.72925213675211</v>
      </c>
      <c r="Z20" s="1">
        <f>K20/420</f>
        <v>191.93280952380951</v>
      </c>
      <c r="AA20" s="1">
        <f>L20/476</f>
        <v>206.98945378151259</v>
      </c>
      <c r="AB20" s="1">
        <f>M20/483</f>
        <v>198.83190476190475</v>
      </c>
      <c r="AC20" s="1">
        <f>N20/490</f>
        <v>199.97524489795919</v>
      </c>
      <c r="AD20" s="1">
        <f>O20/467</f>
        <v>196.48000000000002</v>
      </c>
      <c r="AE20" s="1">
        <f t="shared" si="4"/>
        <v>194.26399150470695</v>
      </c>
    </row>
    <row r="21" spans="3:31" x14ac:dyDescent="0.3">
      <c r="C21" s="39" t="s">
        <v>8</v>
      </c>
      <c r="D21" s="40">
        <v>598645</v>
      </c>
      <c r="E21" s="40">
        <v>515002</v>
      </c>
      <c r="F21" s="40">
        <v>481350</v>
      </c>
      <c r="G21" s="40">
        <v>577641</v>
      </c>
      <c r="H21" s="40">
        <v>603644</v>
      </c>
      <c r="I21" s="40">
        <v>534464</v>
      </c>
      <c r="J21" s="40">
        <v>672272</v>
      </c>
      <c r="K21" s="40">
        <v>518498</v>
      </c>
      <c r="L21" s="40">
        <v>556821</v>
      </c>
      <c r="M21" s="40">
        <v>672349</v>
      </c>
      <c r="N21" s="40">
        <v>638767</v>
      </c>
      <c r="O21" s="40">
        <v>933160</v>
      </c>
      <c r="P21" s="41">
        <f t="shared" si="3"/>
        <v>7302613</v>
      </c>
      <c r="R21" s="3" t="s">
        <v>8</v>
      </c>
      <c r="S21" s="1">
        <v>190.77</v>
      </c>
      <c r="T21" s="1">
        <v>186.26</v>
      </c>
      <c r="U21" s="1">
        <v>180.96</v>
      </c>
      <c r="V21" s="1">
        <v>185.14</v>
      </c>
      <c r="W21" s="1">
        <v>174.16</v>
      </c>
      <c r="X21" s="1">
        <v>163.38999999999999</v>
      </c>
      <c r="Y21" s="1">
        <v>177.66</v>
      </c>
      <c r="Z21" s="1">
        <v>173.12</v>
      </c>
      <c r="AA21" s="1">
        <v>171.49</v>
      </c>
      <c r="AB21" s="1">
        <v>174.36</v>
      </c>
      <c r="AC21" s="1">
        <v>170.66</v>
      </c>
      <c r="AD21" s="1">
        <v>183.33</v>
      </c>
      <c r="AE21" s="1">
        <f t="shared" si="4"/>
        <v>177.60833333333335</v>
      </c>
    </row>
    <row r="22" spans="3:31" x14ac:dyDescent="0.3">
      <c r="C22" s="39" t="s">
        <v>9</v>
      </c>
      <c r="D22" s="40">
        <v>564333</v>
      </c>
      <c r="E22" s="40">
        <v>513739</v>
      </c>
      <c r="F22" s="40">
        <v>542224</v>
      </c>
      <c r="G22" s="40">
        <v>650576</v>
      </c>
      <c r="H22" s="40">
        <v>691521</v>
      </c>
      <c r="I22" s="40">
        <v>670425</v>
      </c>
      <c r="J22" s="40">
        <v>700992</v>
      </c>
      <c r="K22" s="40">
        <v>656451</v>
      </c>
      <c r="L22" s="40">
        <v>690620</v>
      </c>
      <c r="M22" s="40">
        <v>714153</v>
      </c>
      <c r="N22" s="40">
        <v>699155</v>
      </c>
      <c r="O22" s="40">
        <v>842874</v>
      </c>
      <c r="P22" s="41">
        <f t="shared" si="3"/>
        <v>7937063</v>
      </c>
      <c r="R22" s="3" t="s">
        <v>9</v>
      </c>
      <c r="S22" s="1">
        <v>167.36</v>
      </c>
      <c r="T22" s="1">
        <v>157.11000000000001</v>
      </c>
      <c r="U22" s="1">
        <v>149.09</v>
      </c>
      <c r="V22" s="1">
        <v>151.09</v>
      </c>
      <c r="W22" s="1">
        <v>152.41999999999999</v>
      </c>
      <c r="X22" s="1">
        <v>154.72999999999999</v>
      </c>
      <c r="Y22" s="1">
        <v>153.26</v>
      </c>
      <c r="Z22" s="1">
        <v>154.57</v>
      </c>
      <c r="AA22" s="1">
        <v>156.85</v>
      </c>
      <c r="AB22" s="1">
        <v>154.13999999999999</v>
      </c>
      <c r="AC22" s="1">
        <v>152.38999999999999</v>
      </c>
      <c r="AD22" s="1">
        <v>159.36000000000001</v>
      </c>
      <c r="AE22" s="1">
        <f t="shared" si="4"/>
        <v>155.19749999999999</v>
      </c>
    </row>
    <row r="23" spans="3:31" x14ac:dyDescent="0.3">
      <c r="C23" s="39" t="s">
        <v>10</v>
      </c>
      <c r="D23" s="40">
        <v>244192</v>
      </c>
      <c r="E23" s="40">
        <v>264801</v>
      </c>
      <c r="F23" s="40">
        <v>276847</v>
      </c>
      <c r="G23" s="40">
        <v>269808</v>
      </c>
      <c r="H23" s="40">
        <v>274864</v>
      </c>
      <c r="I23" s="40">
        <v>190328.97</v>
      </c>
      <c r="J23" s="40">
        <v>243157.32</v>
      </c>
      <c r="K23" s="40">
        <v>270186.82</v>
      </c>
      <c r="L23" s="40">
        <v>263216.57</v>
      </c>
      <c r="M23" s="40">
        <v>250863.49</v>
      </c>
      <c r="N23" s="40">
        <v>269037.33</v>
      </c>
      <c r="O23" s="40">
        <v>319879.71999999997</v>
      </c>
      <c r="P23" s="41">
        <f t="shared" si="3"/>
        <v>3137182.2199999997</v>
      </c>
      <c r="R23" s="3" t="s">
        <v>10</v>
      </c>
      <c r="S23" s="1">
        <v>176.44</v>
      </c>
      <c r="T23" s="1">
        <v>179.77</v>
      </c>
      <c r="U23" s="1">
        <v>184.81</v>
      </c>
      <c r="V23" s="1">
        <v>193.69</v>
      </c>
      <c r="W23" s="1">
        <v>175.52</v>
      </c>
      <c r="X23" s="1">
        <f>I23/1090</f>
        <v>174.61373394495413</v>
      </c>
      <c r="Y23" s="1">
        <f>J23/1282</f>
        <v>189.67029641185647</v>
      </c>
      <c r="Z23" s="1">
        <f>K23/1438</f>
        <v>187.89069541029207</v>
      </c>
      <c r="AA23" s="1">
        <f>L23/1462</f>
        <v>180.03869357045144</v>
      </c>
      <c r="AB23" s="1">
        <f>M23/1354</f>
        <v>185.27584194977842</v>
      </c>
      <c r="AC23" s="1">
        <f>N23/1449</f>
        <v>185.67103519668737</v>
      </c>
      <c r="AD23" s="1">
        <f>O23/1636</f>
        <v>195.52550122249386</v>
      </c>
      <c r="AE23" s="1">
        <f t="shared" si="4"/>
        <v>184.07631647554282</v>
      </c>
    </row>
    <row r="24" spans="3:31" x14ac:dyDescent="0.3">
      <c r="C24" s="39" t="s">
        <v>11</v>
      </c>
      <c r="D24" s="40">
        <v>456477</v>
      </c>
      <c r="E24" s="40">
        <v>385701</v>
      </c>
      <c r="F24" s="40">
        <v>329646</v>
      </c>
      <c r="G24" s="40">
        <v>388900</v>
      </c>
      <c r="H24" s="40">
        <v>449310</v>
      </c>
      <c r="I24" s="40">
        <v>367579</v>
      </c>
      <c r="J24" s="40">
        <v>437434</v>
      </c>
      <c r="K24" s="40">
        <v>386182</v>
      </c>
      <c r="L24" s="40">
        <v>417700</v>
      </c>
      <c r="M24" s="40">
        <v>426469</v>
      </c>
      <c r="N24" s="40">
        <v>463372</v>
      </c>
      <c r="O24" s="40">
        <v>681819</v>
      </c>
      <c r="P24" s="41">
        <f t="shared" si="3"/>
        <v>5190589</v>
      </c>
      <c r="R24" s="3" t="s">
        <v>11</v>
      </c>
      <c r="S24" s="1">
        <v>153.38999999999999</v>
      </c>
      <c r="T24" s="1">
        <v>142.43</v>
      </c>
      <c r="U24" s="1">
        <v>140.63</v>
      </c>
      <c r="V24" s="1">
        <v>138.88999999999999</v>
      </c>
      <c r="W24" s="1">
        <v>144.71</v>
      </c>
      <c r="X24" s="1">
        <v>135.24</v>
      </c>
      <c r="Y24" s="1">
        <v>138.38</v>
      </c>
      <c r="Z24" s="1">
        <v>141.77000000000001</v>
      </c>
      <c r="AA24" s="1">
        <v>138.4</v>
      </c>
      <c r="AB24" s="1">
        <v>125.06</v>
      </c>
      <c r="AC24" s="1">
        <v>133.88</v>
      </c>
      <c r="AD24" s="1">
        <v>146.5</v>
      </c>
      <c r="AE24" s="1">
        <f t="shared" si="4"/>
        <v>139.94000000000003</v>
      </c>
    </row>
    <row r="25" spans="3:31" x14ac:dyDescent="0.3">
      <c r="C25" s="39" t="s">
        <v>12</v>
      </c>
      <c r="D25" s="40">
        <v>0</v>
      </c>
      <c r="E25" s="40">
        <v>0</v>
      </c>
      <c r="F25" s="40">
        <v>420726</v>
      </c>
      <c r="G25" s="40">
        <v>954563</v>
      </c>
      <c r="H25" s="40">
        <v>750947</v>
      </c>
      <c r="I25" s="40">
        <v>718125</v>
      </c>
      <c r="J25" s="40">
        <v>747524</v>
      </c>
      <c r="K25" s="40">
        <v>620342</v>
      </c>
      <c r="L25" s="40">
        <v>692851</v>
      </c>
      <c r="M25" s="40">
        <v>543248</v>
      </c>
      <c r="N25" s="40">
        <v>528549</v>
      </c>
      <c r="O25" s="40">
        <v>669874</v>
      </c>
      <c r="P25" s="41">
        <f t="shared" si="3"/>
        <v>6646749</v>
      </c>
      <c r="R25" s="3" t="s">
        <v>12</v>
      </c>
      <c r="S25" s="1">
        <v>0</v>
      </c>
      <c r="T25" s="1">
        <v>0</v>
      </c>
      <c r="U25" s="1">
        <v>302.25</v>
      </c>
      <c r="V25" s="1">
        <v>265.75</v>
      </c>
      <c r="W25" s="1">
        <v>253.87</v>
      </c>
      <c r="X25" s="1">
        <v>187.21</v>
      </c>
      <c r="Y25" s="1">
        <v>209.8</v>
      </c>
      <c r="Z25" s="1">
        <v>221.16</v>
      </c>
      <c r="AA25" s="1">
        <v>207.19</v>
      </c>
      <c r="AB25" s="1">
        <v>201.2</v>
      </c>
      <c r="AC25" s="1">
        <v>183.08</v>
      </c>
      <c r="AD25" s="1">
        <v>192.94</v>
      </c>
      <c r="AE25" s="1">
        <f t="shared" si="4"/>
        <v>185.37083333333337</v>
      </c>
    </row>
    <row r="26" spans="3:31" x14ac:dyDescent="0.3">
      <c r="C26" s="39" t="s">
        <v>13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>
        <v>133905</v>
      </c>
      <c r="P26" s="41">
        <f t="shared" si="3"/>
        <v>133905</v>
      </c>
      <c r="R26" s="3" t="s">
        <v>13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>
        <v>155.88999999999999</v>
      </c>
      <c r="AE26" s="1">
        <f t="shared" si="4"/>
        <v>155.88999999999999</v>
      </c>
    </row>
    <row r="27" spans="3:31" x14ac:dyDescent="0.3">
      <c r="C27" s="37"/>
      <c r="D27" s="42">
        <f t="shared" ref="D27:O27" si="5">SUM(D18:D26)</f>
        <v>2318042</v>
      </c>
      <c r="E27" s="42">
        <f t="shared" si="5"/>
        <v>2116429</v>
      </c>
      <c r="F27" s="42">
        <f t="shared" si="5"/>
        <v>2462786</v>
      </c>
      <c r="G27" s="42">
        <f t="shared" si="5"/>
        <v>3301407</v>
      </c>
      <c r="H27" s="42">
        <f t="shared" si="5"/>
        <v>3254066</v>
      </c>
      <c r="I27" s="42">
        <f t="shared" si="5"/>
        <v>2959648.7</v>
      </c>
      <c r="J27" s="42">
        <f t="shared" si="5"/>
        <v>3329311.61</v>
      </c>
      <c r="K27" s="42">
        <f t="shared" si="5"/>
        <v>2978834.6</v>
      </c>
      <c r="L27" s="42">
        <f t="shared" si="5"/>
        <v>3165061.55</v>
      </c>
      <c r="M27" s="42">
        <f t="shared" si="5"/>
        <v>3209979.3</v>
      </c>
      <c r="N27" s="42">
        <f t="shared" si="5"/>
        <v>3164448.2</v>
      </c>
      <c r="O27" s="42">
        <f t="shared" si="5"/>
        <v>4117183.88</v>
      </c>
      <c r="P27" s="42">
        <f t="shared" si="3"/>
        <v>36377197.840000004</v>
      </c>
      <c r="R27" s="3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3:31" x14ac:dyDescent="0.3">
      <c r="C28" s="35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</row>
    <row r="29" spans="3:31" x14ac:dyDescent="0.3">
      <c r="C29" s="47" t="s">
        <v>0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19"/>
      <c r="R29" s="19"/>
      <c r="S29" s="18" t="s">
        <v>1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 spans="3:31" x14ac:dyDescent="0.3">
      <c r="C30" s="35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</row>
    <row r="31" spans="3:31" x14ac:dyDescent="0.3">
      <c r="C31" s="37" t="s">
        <v>2</v>
      </c>
      <c r="D31" s="38">
        <v>45315</v>
      </c>
      <c r="E31" s="38">
        <v>45346</v>
      </c>
      <c r="F31" s="38">
        <v>45375</v>
      </c>
      <c r="G31" s="38">
        <v>45406</v>
      </c>
      <c r="H31" s="38">
        <v>45436</v>
      </c>
      <c r="I31" s="38">
        <v>45467</v>
      </c>
      <c r="J31" s="38">
        <v>45497</v>
      </c>
      <c r="K31" s="38">
        <v>45528</v>
      </c>
      <c r="L31" s="38">
        <v>45559</v>
      </c>
      <c r="M31" s="38">
        <v>45589</v>
      </c>
      <c r="N31" s="38">
        <v>45620</v>
      </c>
      <c r="O31" s="38">
        <v>45650</v>
      </c>
      <c r="P31" s="43"/>
      <c r="R31" s="3" t="s">
        <v>2</v>
      </c>
      <c r="S31" s="2">
        <v>45315</v>
      </c>
      <c r="T31" s="2">
        <v>45346</v>
      </c>
      <c r="U31" s="2">
        <v>45375</v>
      </c>
      <c r="V31" s="2">
        <v>45406</v>
      </c>
      <c r="W31" s="2">
        <v>45436</v>
      </c>
      <c r="X31" s="2">
        <v>45467</v>
      </c>
      <c r="Y31" s="2">
        <v>45497</v>
      </c>
      <c r="Z31" s="2">
        <v>45528</v>
      </c>
      <c r="AA31" s="2">
        <v>45559</v>
      </c>
      <c r="AB31" s="2">
        <v>45589</v>
      </c>
      <c r="AC31" s="2">
        <v>45620</v>
      </c>
      <c r="AD31" s="2">
        <v>45650</v>
      </c>
      <c r="AE31" s="3" t="s">
        <v>4</v>
      </c>
    </row>
    <row r="32" spans="3:31" x14ac:dyDescent="0.3">
      <c r="C32" s="49" t="s">
        <v>5</v>
      </c>
      <c r="D32" s="50">
        <v>350385</v>
      </c>
      <c r="E32" s="50">
        <v>483830</v>
      </c>
      <c r="F32" s="50">
        <v>426555</v>
      </c>
      <c r="G32" s="50">
        <v>321461</v>
      </c>
      <c r="H32" s="50">
        <v>380047</v>
      </c>
      <c r="I32" s="50">
        <v>396828</v>
      </c>
      <c r="J32" s="50">
        <v>394764</v>
      </c>
      <c r="K32" s="50">
        <v>423557</v>
      </c>
      <c r="L32" s="50">
        <v>420881</v>
      </c>
      <c r="M32" s="50">
        <v>447402</v>
      </c>
      <c r="N32" s="50">
        <v>418952</v>
      </c>
      <c r="O32" s="50">
        <v>439824</v>
      </c>
      <c r="P32" s="50">
        <f t="shared" ref="P32:P44" si="6">SUM(D32:O32)</f>
        <v>4904486</v>
      </c>
      <c r="R32" s="16" t="s">
        <v>5</v>
      </c>
      <c r="S32" s="17">
        <f>D32/3850</f>
        <v>91.009090909090915</v>
      </c>
      <c r="T32" s="17">
        <f>E32/4900</f>
        <v>98.740816326530606</v>
      </c>
      <c r="U32" s="17">
        <f>F32/4300</f>
        <v>99.198837209302326</v>
      </c>
      <c r="V32" s="17">
        <f>G32/3900</f>
        <v>82.42589743589744</v>
      </c>
      <c r="W32" s="17">
        <f>H32/4500</f>
        <v>84.454888888888888</v>
      </c>
      <c r="X32" s="17">
        <f>I32/4500</f>
        <v>88.183999999999997</v>
      </c>
      <c r="Y32" s="17">
        <f t="shared" ref="Y32:AD32" si="7">J32/4500</f>
        <v>87.725333333333339</v>
      </c>
      <c r="Z32" s="17">
        <f t="shared" si="7"/>
        <v>94.123777777777775</v>
      </c>
      <c r="AA32" s="17">
        <f>L32/4498</f>
        <v>93.570698088039123</v>
      </c>
      <c r="AB32" s="17">
        <f>M32/4498</f>
        <v>99.466874166296137</v>
      </c>
      <c r="AC32" s="17">
        <f t="shared" si="7"/>
        <v>93.100444444444449</v>
      </c>
      <c r="AD32" s="17">
        <f t="shared" si="7"/>
        <v>97.73866666666666</v>
      </c>
      <c r="AE32" s="17">
        <f>AVERAGE(S32:Y32)</f>
        <v>90.24840915757764</v>
      </c>
    </row>
    <row r="33" spans="3:31" x14ac:dyDescent="0.3">
      <c r="C33" s="44" t="s">
        <v>7</v>
      </c>
      <c r="D33" s="40">
        <v>153858</v>
      </c>
      <c r="E33" s="40">
        <v>150698</v>
      </c>
      <c r="F33" s="40">
        <v>153672</v>
      </c>
      <c r="G33" s="40">
        <v>149770</v>
      </c>
      <c r="H33" s="40">
        <v>163007</v>
      </c>
      <c r="I33" s="40">
        <v>157867</v>
      </c>
      <c r="J33" s="40">
        <v>161027</v>
      </c>
      <c r="K33" s="40">
        <v>165408</v>
      </c>
      <c r="L33" s="40">
        <v>175642</v>
      </c>
      <c r="M33" s="40">
        <v>191729</v>
      </c>
      <c r="N33" s="40">
        <v>212848</v>
      </c>
      <c r="O33" s="40">
        <v>236651</v>
      </c>
      <c r="P33" s="45">
        <f t="shared" si="6"/>
        <v>2072177</v>
      </c>
      <c r="Q33" s="15"/>
      <c r="R33" s="13" t="s">
        <v>7</v>
      </c>
      <c r="S33" s="1">
        <f>D33/4328</f>
        <v>35.549445471349351</v>
      </c>
      <c r="T33" s="1">
        <f>E33/3816</f>
        <v>39.491090146750523</v>
      </c>
      <c r="U33" s="1">
        <f>F33/4161</f>
        <v>36.93150684931507</v>
      </c>
      <c r="V33" s="1">
        <f>G33/4062</f>
        <v>36.870999507631709</v>
      </c>
      <c r="W33" s="1">
        <f>H33/4404</f>
        <v>37.013396911898276</v>
      </c>
      <c r="X33" s="1">
        <f>I33/4158</f>
        <v>37.967051467051469</v>
      </c>
      <c r="Y33" s="1">
        <f t="shared" ref="Y33:AB33" si="8">J33/4158</f>
        <v>38.727032227032225</v>
      </c>
      <c r="Z33" s="1">
        <f>K33/4184</f>
        <v>39.53346080305927</v>
      </c>
      <c r="AA33" s="1">
        <f t="shared" si="8"/>
        <v>42.24194324194324</v>
      </c>
      <c r="AB33" s="1">
        <f t="shared" si="8"/>
        <v>46.110870610870613</v>
      </c>
      <c r="AC33" s="1">
        <f>N33/4408</f>
        <v>48.286751361161528</v>
      </c>
      <c r="AD33" s="1">
        <f>O33/4408</f>
        <v>53.686705989110706</v>
      </c>
      <c r="AE33" s="14">
        <f t="shared" ref="AE33:AE41" si="9">AVERAGE(S33:AD33)</f>
        <v>41.034187882264497</v>
      </c>
    </row>
    <row r="34" spans="3:31" x14ac:dyDescent="0.3">
      <c r="C34" s="49" t="s">
        <v>6</v>
      </c>
      <c r="D34" s="50">
        <v>71425</v>
      </c>
      <c r="E34" s="50">
        <v>70783</v>
      </c>
      <c r="F34" s="50">
        <v>73767</v>
      </c>
      <c r="G34" s="50">
        <v>61451</v>
      </c>
      <c r="H34" s="50">
        <v>96757</v>
      </c>
      <c r="I34" s="50">
        <v>75102</v>
      </c>
      <c r="J34" s="50">
        <v>70191</v>
      </c>
      <c r="K34" s="50">
        <v>85852</v>
      </c>
      <c r="L34" s="50">
        <v>70289</v>
      </c>
      <c r="M34" s="50">
        <v>75545</v>
      </c>
      <c r="N34" s="50">
        <v>90841</v>
      </c>
      <c r="O34" s="50">
        <v>112178</v>
      </c>
      <c r="P34" s="50">
        <f t="shared" si="6"/>
        <v>954181</v>
      </c>
      <c r="R34" s="16" t="s">
        <v>6</v>
      </c>
      <c r="S34" s="17">
        <f>D34/397</f>
        <v>179.91183879093199</v>
      </c>
      <c r="T34" s="17">
        <f>E34/421</f>
        <v>168.13064133016627</v>
      </c>
      <c r="U34" s="17">
        <f>F34/532</f>
        <v>138.65977443609023</v>
      </c>
      <c r="V34" s="17">
        <f>G34/477</f>
        <v>128.82809224318657</v>
      </c>
      <c r="W34" s="17">
        <f>H34/599</f>
        <v>161.53088480801335</v>
      </c>
      <c r="X34" s="17">
        <f>I34/547</f>
        <v>137.2979890310786</v>
      </c>
      <c r="Y34" s="17">
        <f t="shared" ref="Y34:AD34" si="10">J34/397</f>
        <v>176.80352644836273</v>
      </c>
      <c r="Z34" s="17">
        <f>K34/491</f>
        <v>174.85132382892058</v>
      </c>
      <c r="AA34" s="17">
        <f t="shared" si="10"/>
        <v>177.05037783375315</v>
      </c>
      <c r="AB34" s="17">
        <f t="shared" si="10"/>
        <v>190.28967254408062</v>
      </c>
      <c r="AC34" s="17">
        <f t="shared" si="10"/>
        <v>228.81863979848868</v>
      </c>
      <c r="AD34" s="17">
        <f t="shared" si="10"/>
        <v>282.56423173803529</v>
      </c>
      <c r="AE34" s="17">
        <f t="shared" si="9"/>
        <v>178.72808273592568</v>
      </c>
    </row>
    <row r="35" spans="3:31" x14ac:dyDescent="0.3">
      <c r="C35" s="39" t="s">
        <v>8</v>
      </c>
      <c r="D35" s="40">
        <v>646899</v>
      </c>
      <c r="E35" s="40">
        <v>488155</v>
      </c>
      <c r="F35" s="40">
        <v>570488</v>
      </c>
      <c r="G35" s="40">
        <v>465897</v>
      </c>
      <c r="H35" s="40">
        <v>591107</v>
      </c>
      <c r="I35" s="40">
        <v>528199</v>
      </c>
      <c r="J35" s="40">
        <v>560528</v>
      </c>
      <c r="K35" s="40">
        <v>505724</v>
      </c>
      <c r="L35" s="40">
        <v>491414</v>
      </c>
      <c r="M35" s="40">
        <v>575245</v>
      </c>
      <c r="N35" s="40">
        <v>683844</v>
      </c>
      <c r="O35" s="40">
        <v>832974</v>
      </c>
      <c r="P35" s="40">
        <f t="shared" si="6"/>
        <v>6940474</v>
      </c>
      <c r="R35" s="3" t="s">
        <v>8</v>
      </c>
      <c r="S35" s="1">
        <f>D35/3683</f>
        <v>175.64458322020093</v>
      </c>
      <c r="T35" s="1">
        <f>E35/3836</f>
        <v>127.25625651720543</v>
      </c>
      <c r="U35" s="1">
        <f>F35/3097</f>
        <v>184.20665159832095</v>
      </c>
      <c r="V35" s="1">
        <f>G35/2575</f>
        <v>180.93087378640777</v>
      </c>
      <c r="W35" s="1">
        <f>H35/3005</f>
        <v>196.70782029950084</v>
      </c>
      <c r="X35" s="1">
        <f>I35/2851</f>
        <v>185.26797614871975</v>
      </c>
      <c r="Y35" s="1">
        <f>J35/2851</f>
        <v>196.60750613819712</v>
      </c>
      <c r="Z35" s="1">
        <f>K35/2708</f>
        <v>186.75184638109306</v>
      </c>
      <c r="AA35" s="1">
        <f>L35/2804</f>
        <v>175.25463623395149</v>
      </c>
      <c r="AB35" s="1">
        <f>M35/2804</f>
        <v>205.15156918687589</v>
      </c>
      <c r="AC35" s="1">
        <f>N35/2900</f>
        <v>235.80827586206897</v>
      </c>
      <c r="AD35" s="1">
        <f>O35/2900</f>
        <v>287.23241379310343</v>
      </c>
      <c r="AE35" s="1">
        <f t="shared" si="9"/>
        <v>194.73503409713717</v>
      </c>
    </row>
    <row r="36" spans="3:31" x14ac:dyDescent="0.3">
      <c r="C36" s="49" t="s">
        <v>9</v>
      </c>
      <c r="D36" s="50">
        <v>702968</v>
      </c>
      <c r="E36" s="50">
        <v>558240</v>
      </c>
      <c r="F36" s="50">
        <v>673243</v>
      </c>
      <c r="G36" s="50">
        <v>613320</v>
      </c>
      <c r="H36" s="50">
        <v>692948</v>
      </c>
      <c r="I36" s="50">
        <v>682981</v>
      </c>
      <c r="J36" s="50">
        <v>651660</v>
      </c>
      <c r="K36" s="50">
        <v>744820</v>
      </c>
      <c r="L36" s="50">
        <v>736364</v>
      </c>
      <c r="M36" s="50">
        <v>754166</v>
      </c>
      <c r="N36" s="50">
        <v>792525</v>
      </c>
      <c r="O36" s="50">
        <v>827904</v>
      </c>
      <c r="P36" s="50">
        <f t="shared" si="6"/>
        <v>8431139</v>
      </c>
      <c r="R36" s="16" t="s">
        <v>9</v>
      </c>
      <c r="S36" s="17">
        <f>D36/4468</f>
        <v>157.33393017009848</v>
      </c>
      <c r="T36" s="17">
        <f>E36/3711</f>
        <v>150.42845594179465</v>
      </c>
      <c r="U36" s="17">
        <f>F36/4078</f>
        <v>165.09146640510053</v>
      </c>
      <c r="V36" s="17">
        <f>G36/3585</f>
        <v>171.07949790794979</v>
      </c>
      <c r="W36" s="17">
        <f>H36/3977</f>
        <v>174.23887352275585</v>
      </c>
      <c r="X36" s="17">
        <f>I36/4111</f>
        <v>166.13500364874727</v>
      </c>
      <c r="Y36" s="17">
        <f>J36/4111</f>
        <v>158.51617611286792</v>
      </c>
      <c r="Z36" s="17">
        <f>K36/4804</f>
        <v>155.04163197335555</v>
      </c>
      <c r="AA36" s="17">
        <f>L36/4987</f>
        <v>147.65670743934228</v>
      </c>
      <c r="AB36" s="17">
        <f>M36/4987</f>
        <v>151.226388610387</v>
      </c>
      <c r="AC36" s="17">
        <f>N36/5101</f>
        <v>155.36659478533622</v>
      </c>
      <c r="AD36" s="17">
        <f>O36/5101</f>
        <v>162.30229366790826</v>
      </c>
      <c r="AE36" s="17">
        <f t="shared" si="9"/>
        <v>159.534751682137</v>
      </c>
    </row>
    <row r="37" spans="3:31" x14ac:dyDescent="0.3">
      <c r="C37" s="39" t="s">
        <v>10</v>
      </c>
      <c r="D37" s="40">
        <v>262977</v>
      </c>
      <c r="E37" s="40">
        <v>244274</v>
      </c>
      <c r="F37" s="40">
        <v>288885</v>
      </c>
      <c r="G37" s="40">
        <v>272316</v>
      </c>
      <c r="H37" s="40">
        <v>291126</v>
      </c>
      <c r="I37" s="40">
        <v>258393</v>
      </c>
      <c r="J37" s="40">
        <v>246221</v>
      </c>
      <c r="K37" s="40">
        <v>306302</v>
      </c>
      <c r="L37" s="40">
        <v>243662</v>
      </c>
      <c r="M37" s="40">
        <v>270197</v>
      </c>
      <c r="N37" s="40">
        <v>320101</v>
      </c>
      <c r="O37" s="40">
        <v>389778</v>
      </c>
      <c r="P37" s="40">
        <f t="shared" si="6"/>
        <v>3394232</v>
      </c>
      <c r="R37" s="3" t="s">
        <v>10</v>
      </c>
      <c r="S37" s="1">
        <f>D37/1502</f>
        <v>175.08455392809589</v>
      </c>
      <c r="T37" s="1">
        <f>E37/1398</f>
        <v>174.73104434907009</v>
      </c>
      <c r="U37" s="1">
        <f>F37/1675</f>
        <v>172.46865671641791</v>
      </c>
      <c r="V37" s="1">
        <f>G37/1800</f>
        <v>151.28666666666666</v>
      </c>
      <c r="W37" s="1">
        <f>H37/1500</f>
        <v>194.084</v>
      </c>
      <c r="X37" s="1">
        <f>I37/1569</f>
        <v>164.68642447418739</v>
      </c>
      <c r="Y37" s="1">
        <f>J37/1569</f>
        <v>156.92861695347355</v>
      </c>
      <c r="Z37" s="1">
        <f>K37/1707</f>
        <v>179.43878148799064</v>
      </c>
      <c r="AA37" s="1">
        <f>L37/1592</f>
        <v>153.05402010050253</v>
      </c>
      <c r="AB37" s="1">
        <f>M37/1592</f>
        <v>169.7217336683417</v>
      </c>
      <c r="AC37" s="1">
        <f>N37/1611</f>
        <v>198.69708255741776</v>
      </c>
      <c r="AD37" s="1">
        <f>O37/1611</f>
        <v>241.94785847299815</v>
      </c>
      <c r="AE37" s="1">
        <f t="shared" si="9"/>
        <v>177.6774532812635</v>
      </c>
    </row>
    <row r="38" spans="3:31" x14ac:dyDescent="0.3">
      <c r="C38" s="49" t="s">
        <v>11</v>
      </c>
      <c r="D38" s="50">
        <v>537027</v>
      </c>
      <c r="E38" s="50">
        <v>401503</v>
      </c>
      <c r="F38" s="50">
        <v>406838</v>
      </c>
      <c r="G38" s="50">
        <v>382976</v>
      </c>
      <c r="H38" s="50">
        <v>468209</v>
      </c>
      <c r="I38" s="50">
        <v>451492</v>
      </c>
      <c r="J38" s="50">
        <v>418148</v>
      </c>
      <c r="K38" s="50">
        <v>435055</v>
      </c>
      <c r="L38" s="50">
        <v>417424</v>
      </c>
      <c r="M38" s="50">
        <v>513582</v>
      </c>
      <c r="N38" s="50">
        <v>591212</v>
      </c>
      <c r="O38" s="50">
        <v>709907</v>
      </c>
      <c r="P38" s="50">
        <f t="shared" si="6"/>
        <v>5733373</v>
      </c>
      <c r="R38" s="16" t="s">
        <v>11</v>
      </c>
      <c r="S38" s="17">
        <f>D38/3704</f>
        <v>144.98569114470843</v>
      </c>
      <c r="T38" s="17">
        <f>E38/2747</f>
        <v>146.16053876956681</v>
      </c>
      <c r="U38" s="17">
        <f>F38/2721</f>
        <v>149.5178243292907</v>
      </c>
      <c r="V38" s="17">
        <f>G38/2443</f>
        <v>156.76463364715514</v>
      </c>
      <c r="W38" s="17">
        <f>H38/2600</f>
        <v>180.08038461538462</v>
      </c>
      <c r="X38" s="17">
        <f>I38/2745</f>
        <v>164.47795992714026</v>
      </c>
      <c r="Y38" s="17">
        <f>J38/2745</f>
        <v>152.33078324225866</v>
      </c>
      <c r="Z38" s="17">
        <f>K38/2897</f>
        <v>150.17431826026925</v>
      </c>
      <c r="AA38" s="17">
        <f>L38/2801</f>
        <v>149.02677615137452</v>
      </c>
      <c r="AB38" s="17">
        <f>M38/2801</f>
        <v>183.35665833630847</v>
      </c>
      <c r="AC38" s="17">
        <f>N38/2899</f>
        <v>203.93652983787513</v>
      </c>
      <c r="AD38" s="17">
        <f>O38/2899</f>
        <v>244.87995860641601</v>
      </c>
      <c r="AE38" s="17">
        <f t="shared" si="9"/>
        <v>168.80767140564569</v>
      </c>
    </row>
    <row r="39" spans="3:31" x14ac:dyDescent="0.3">
      <c r="C39" s="39" t="s">
        <v>12</v>
      </c>
      <c r="D39" s="40">
        <v>551289</v>
      </c>
      <c r="E39" s="40">
        <v>493222</v>
      </c>
      <c r="F39" s="40">
        <v>429408</v>
      </c>
      <c r="G39" s="40">
        <v>426339</v>
      </c>
      <c r="H39" s="40">
        <v>547341</v>
      </c>
      <c r="I39" s="40">
        <v>656477</v>
      </c>
      <c r="J39" s="40">
        <v>506227</v>
      </c>
      <c r="K39" s="40">
        <v>616543</v>
      </c>
      <c r="L39" s="40">
        <v>654133</v>
      </c>
      <c r="M39" s="40">
        <v>828439</v>
      </c>
      <c r="N39" s="40">
        <v>830835</v>
      </c>
      <c r="O39" s="40">
        <v>824690</v>
      </c>
      <c r="P39" s="40">
        <f t="shared" si="6"/>
        <v>7364943</v>
      </c>
      <c r="R39" s="3" t="s">
        <v>12</v>
      </c>
      <c r="S39" s="1">
        <f>D39/2715</f>
        <v>203.05303867403316</v>
      </c>
      <c r="T39" s="1">
        <f>E39/2680</f>
        <v>184.03805970149253</v>
      </c>
      <c r="U39" s="1">
        <f>F39/2560</f>
        <v>167.73750000000001</v>
      </c>
      <c r="V39" s="1">
        <f>G39/2633</f>
        <v>161.92138245347513</v>
      </c>
      <c r="W39" s="1">
        <f>H39/2419</f>
        <v>226.26746589499794</v>
      </c>
      <c r="X39" s="1">
        <f>I39/2895</f>
        <v>226.76234887737479</v>
      </c>
      <c r="Y39" s="1">
        <f>J39/2895</f>
        <v>174.86252158894646</v>
      </c>
      <c r="Z39" s="1">
        <f>K39/3147</f>
        <v>195.91452176676199</v>
      </c>
      <c r="AA39" s="1">
        <f>L39/3997</f>
        <v>163.65599199399549</v>
      </c>
      <c r="AB39" s="1">
        <f>M39/4407</f>
        <v>187.98252779668709</v>
      </c>
      <c r="AC39" s="1">
        <f>N39/4500</f>
        <v>184.63</v>
      </c>
      <c r="AD39" s="1">
        <f>O39/4500</f>
        <v>183.26444444444445</v>
      </c>
      <c r="AE39" s="1">
        <f t="shared" si="9"/>
        <v>188.34081693268408</v>
      </c>
    </row>
    <row r="40" spans="3:31" x14ac:dyDescent="0.3">
      <c r="C40" s="49" t="s">
        <v>14</v>
      </c>
      <c r="D40" s="50">
        <v>0</v>
      </c>
      <c r="E40" s="50">
        <v>0</v>
      </c>
      <c r="F40" s="50">
        <v>1338587</v>
      </c>
      <c r="G40" s="50">
        <v>1205959</v>
      </c>
      <c r="H40" s="50">
        <v>1012449</v>
      </c>
      <c r="I40" s="50">
        <v>946975</v>
      </c>
      <c r="J40" s="50">
        <v>920441</v>
      </c>
      <c r="K40" s="50">
        <v>973193</v>
      </c>
      <c r="L40" s="50">
        <v>802781</v>
      </c>
      <c r="M40" s="50">
        <v>827137</v>
      </c>
      <c r="N40" s="50">
        <v>918601</v>
      </c>
      <c r="O40" s="50">
        <v>1038287</v>
      </c>
      <c r="P40" s="50">
        <f t="shared" si="6"/>
        <v>9984410</v>
      </c>
      <c r="R40" s="16" t="s">
        <v>14</v>
      </c>
      <c r="S40" s="17">
        <f t="shared" ref="S40" si="11">D40/397</f>
        <v>0</v>
      </c>
      <c r="T40" s="17">
        <f t="shared" ref="T40" si="12">E40/397</f>
        <v>0</v>
      </c>
      <c r="U40" s="17">
        <f>F40/4404</f>
        <v>303.94800181653045</v>
      </c>
      <c r="V40" s="17">
        <f>G40/3999</f>
        <v>301.56514128532132</v>
      </c>
      <c r="W40" s="17">
        <f>H40/3834</f>
        <v>264.07120500782474</v>
      </c>
      <c r="X40" s="17">
        <f>I40/3823</f>
        <v>247.70468218676433</v>
      </c>
      <c r="Y40" s="17">
        <f>J40/3823</f>
        <v>240.76405963902695</v>
      </c>
      <c r="Z40" s="17">
        <f>K40/4142</f>
        <v>234.95726702076291</v>
      </c>
      <c r="AA40" s="17">
        <f>L40/3977</f>
        <v>201.85592154890622</v>
      </c>
      <c r="AB40" s="17">
        <f>M40/3977</f>
        <v>207.98013578073926</v>
      </c>
      <c r="AC40" s="17">
        <f>N40/3900</f>
        <v>235.53871794871796</v>
      </c>
      <c r="AD40" s="17">
        <f>O40/3900</f>
        <v>266.2274358974359</v>
      </c>
      <c r="AE40" s="17">
        <f t="shared" si="9"/>
        <v>208.7177140110025</v>
      </c>
    </row>
    <row r="41" spans="3:31" x14ac:dyDescent="0.3">
      <c r="C41" s="39" t="s">
        <v>13</v>
      </c>
      <c r="D41" s="40">
        <v>238875</v>
      </c>
      <c r="E41" s="40">
        <v>279065</v>
      </c>
      <c r="F41" s="40">
        <v>354305</v>
      </c>
      <c r="G41" s="40">
        <v>303167</v>
      </c>
      <c r="H41" s="40">
        <v>324629</v>
      </c>
      <c r="I41" s="40">
        <v>287579</v>
      </c>
      <c r="J41" s="40">
        <v>286763</v>
      </c>
      <c r="K41" s="40">
        <v>259903</v>
      </c>
      <c r="L41" s="40">
        <v>272401</v>
      </c>
      <c r="M41" s="40">
        <v>315126</v>
      </c>
      <c r="N41" s="40">
        <v>304011</v>
      </c>
      <c r="O41" s="40">
        <v>370485</v>
      </c>
      <c r="P41" s="40">
        <f t="shared" si="6"/>
        <v>3596309</v>
      </c>
      <c r="R41" s="3" t="s">
        <v>13</v>
      </c>
      <c r="S41" s="1">
        <f>D41/1591</f>
        <v>150.1414204902577</v>
      </c>
      <c r="T41" s="1">
        <f>E41/2029</f>
        <v>137.53819615574176</v>
      </c>
      <c r="U41" s="1">
        <f>F41/2547</f>
        <v>139.10679230467215</v>
      </c>
      <c r="V41" s="1">
        <f>G41/2090</f>
        <v>145.05598086124402</v>
      </c>
      <c r="W41" s="1">
        <f>H41/2145</f>
        <v>151.34219114219115</v>
      </c>
      <c r="X41" s="1">
        <f>I41/2015</f>
        <v>142.71910669975185</v>
      </c>
      <c r="Y41" s="1">
        <f>J41/2015</f>
        <v>142.31414392059554</v>
      </c>
      <c r="Z41" s="1">
        <f>K41/2157</f>
        <v>120.49281409364859</v>
      </c>
      <c r="AA41" s="1">
        <f>L41/2057</f>
        <v>132.42634905201751</v>
      </c>
      <c r="AB41" s="1">
        <f>M41/2057</f>
        <v>153.19688867282451</v>
      </c>
      <c r="AC41" s="1">
        <f>N41/2101</f>
        <v>144.69823893384103</v>
      </c>
      <c r="AD41" s="1">
        <f>O41/2101</f>
        <v>176.33745835316515</v>
      </c>
      <c r="AE41" s="1">
        <f t="shared" si="9"/>
        <v>144.61413172332922</v>
      </c>
    </row>
    <row r="42" spans="3:31" x14ac:dyDescent="0.3">
      <c r="C42" s="16" t="s">
        <v>24</v>
      </c>
      <c r="D42" s="17">
        <v>1251318</v>
      </c>
      <c r="E42" s="17">
        <v>1088565</v>
      </c>
      <c r="F42" s="17">
        <v>1341167</v>
      </c>
      <c r="G42" s="17">
        <v>1400353</v>
      </c>
      <c r="H42" s="17">
        <v>1637410</v>
      </c>
      <c r="I42" s="17">
        <v>1475059</v>
      </c>
      <c r="J42" s="17">
        <v>1440410</v>
      </c>
      <c r="K42" s="17">
        <v>1532996</v>
      </c>
      <c r="L42" s="17">
        <v>1382494</v>
      </c>
      <c r="M42" s="17">
        <v>1283083</v>
      </c>
      <c r="N42" s="17">
        <v>1549891</v>
      </c>
      <c r="O42" s="17">
        <v>1636354</v>
      </c>
      <c r="P42" s="17">
        <f t="shared" si="6"/>
        <v>17019100</v>
      </c>
      <c r="R42" s="3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3:31" x14ac:dyDescent="0.3">
      <c r="C43" s="39" t="s">
        <v>32</v>
      </c>
      <c r="D43" s="40"/>
      <c r="E43" s="40"/>
      <c r="F43" s="40"/>
      <c r="G43" s="40"/>
      <c r="H43" s="40"/>
      <c r="I43" s="40"/>
      <c r="J43" s="40"/>
      <c r="K43" s="40"/>
      <c r="L43" s="40"/>
      <c r="M43" s="40">
        <v>1861758</v>
      </c>
      <c r="N43" s="40">
        <v>2055595</v>
      </c>
      <c r="O43" s="40">
        <v>1979104</v>
      </c>
      <c r="P43" s="40">
        <f t="shared" si="6"/>
        <v>5896457</v>
      </c>
      <c r="R43" s="3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3:31" x14ac:dyDescent="0.3">
      <c r="C44" s="39" t="s">
        <v>3</v>
      </c>
      <c r="D44" s="40">
        <f>SUM(D32:D43)</f>
        <v>4767021</v>
      </c>
      <c r="E44" s="40">
        <f t="shared" ref="E44:O44" si="13">SUM(E32:E43)</f>
        <v>4258335</v>
      </c>
      <c r="F44" s="40">
        <f t="shared" si="13"/>
        <v>6056915</v>
      </c>
      <c r="G44" s="40">
        <f t="shared" si="13"/>
        <v>5603009</v>
      </c>
      <c r="H44" s="40">
        <f t="shared" si="13"/>
        <v>6205030</v>
      </c>
      <c r="I44" s="40">
        <f t="shared" si="13"/>
        <v>5916952</v>
      </c>
      <c r="J44" s="40">
        <f t="shared" si="13"/>
        <v>5656380</v>
      </c>
      <c r="K44" s="40">
        <f t="shared" si="13"/>
        <v>6049353</v>
      </c>
      <c r="L44" s="40">
        <f t="shared" si="13"/>
        <v>5667485</v>
      </c>
      <c r="M44" s="40">
        <f t="shared" si="13"/>
        <v>7943409</v>
      </c>
      <c r="N44" s="40">
        <f t="shared" si="13"/>
        <v>8769256</v>
      </c>
      <c r="O44" s="40">
        <f t="shared" si="13"/>
        <v>9398136</v>
      </c>
      <c r="P44" s="40">
        <f t="shared" si="6"/>
        <v>76291281</v>
      </c>
      <c r="R44" s="3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3:31" x14ac:dyDescent="0.3">
      <c r="C45" s="35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</row>
    <row r="46" spans="3:31" x14ac:dyDescent="0.3">
      <c r="C46" s="18" t="s">
        <v>0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8" t="s">
        <v>1</v>
      </c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8" spans="3:31" x14ac:dyDescent="0.3">
      <c r="C48" s="5" t="s">
        <v>2</v>
      </c>
      <c r="D48" s="6">
        <v>45658</v>
      </c>
      <c r="E48" s="6">
        <v>45689</v>
      </c>
      <c r="F48" s="6">
        <v>45717</v>
      </c>
      <c r="G48" s="6">
        <v>45748</v>
      </c>
      <c r="H48" s="6">
        <v>45778</v>
      </c>
      <c r="I48" s="6">
        <v>45809</v>
      </c>
      <c r="J48" s="6">
        <v>45839</v>
      </c>
      <c r="K48" s="6">
        <v>45870</v>
      </c>
      <c r="L48" s="6">
        <v>45901</v>
      </c>
      <c r="M48" s="6">
        <v>45931</v>
      </c>
      <c r="N48" s="6">
        <v>45962</v>
      </c>
      <c r="O48" s="6">
        <v>45992</v>
      </c>
      <c r="P48" s="8"/>
      <c r="R48" s="3" t="s">
        <v>2</v>
      </c>
      <c r="S48" s="6">
        <v>45658</v>
      </c>
      <c r="T48" s="6">
        <v>45689</v>
      </c>
      <c r="U48" s="6">
        <v>45717</v>
      </c>
      <c r="V48" s="6">
        <v>45748</v>
      </c>
      <c r="W48" s="6">
        <v>45778</v>
      </c>
      <c r="X48" s="6">
        <v>45809</v>
      </c>
      <c r="Y48" s="6">
        <v>45839</v>
      </c>
      <c r="Z48" s="6">
        <v>45870</v>
      </c>
      <c r="AA48" s="6">
        <v>45901</v>
      </c>
      <c r="AB48" s="6">
        <v>45931</v>
      </c>
      <c r="AC48" s="6">
        <v>45962</v>
      </c>
      <c r="AD48" s="6">
        <v>45992</v>
      </c>
      <c r="AE48" s="3" t="s">
        <v>4</v>
      </c>
    </row>
    <row r="49" spans="3:31" x14ac:dyDescent="0.3">
      <c r="C49" s="16" t="s">
        <v>5</v>
      </c>
      <c r="D49" s="17">
        <v>408743</v>
      </c>
      <c r="E49" s="17">
        <v>406120</v>
      </c>
      <c r="F49" s="17">
        <v>450366</v>
      </c>
      <c r="G49" s="17">
        <v>372856</v>
      </c>
      <c r="H49" s="17">
        <v>389106</v>
      </c>
      <c r="I49" s="17">
        <v>466085</v>
      </c>
      <c r="J49" s="17">
        <v>378664</v>
      </c>
      <c r="K49" s="17">
        <v>408891</v>
      </c>
      <c r="L49" s="17">
        <v>322591</v>
      </c>
      <c r="M49" s="17">
        <v>390461</v>
      </c>
      <c r="N49" s="17">
        <v>460206</v>
      </c>
      <c r="O49" s="17">
        <v>420717</v>
      </c>
      <c r="P49" s="17">
        <f t="shared" ref="P49:P63" si="14">SUM(D49:O49)</f>
        <v>4874806</v>
      </c>
      <c r="R49" s="16" t="s">
        <v>5</v>
      </c>
      <c r="S49" s="17">
        <v>103.43</v>
      </c>
      <c r="T49" s="17">
        <f>E49/4900</f>
        <v>82.881632653061232</v>
      </c>
      <c r="U49" s="17">
        <f>F49/4300</f>
        <v>104.73627906976745</v>
      </c>
      <c r="V49" s="17">
        <v>111.37</v>
      </c>
      <c r="W49" s="17">
        <v>107.88</v>
      </c>
      <c r="X49" s="17">
        <f>I49/4500</f>
        <v>103.57444444444444</v>
      </c>
      <c r="Y49" s="17">
        <f t="shared" ref="Y49" si="15">J49/4500</f>
        <v>84.147555555555556</v>
      </c>
      <c r="Z49" s="17">
        <f t="shared" ref="Z49:AA49" si="16">K49/4500</f>
        <v>90.864666666666665</v>
      </c>
      <c r="AA49" s="17">
        <f t="shared" si="16"/>
        <v>71.686888888888888</v>
      </c>
      <c r="AB49" s="17">
        <v>97.18</v>
      </c>
      <c r="AC49" s="17">
        <v>99.44</v>
      </c>
      <c r="AD49" s="17">
        <f t="shared" ref="AD49" si="17">O49/4500</f>
        <v>93.492666666666665</v>
      </c>
      <c r="AE49" s="17">
        <f>AVERAGE(S49:AD49)</f>
        <v>95.890344495420933</v>
      </c>
    </row>
    <row r="50" spans="3:31" x14ac:dyDescent="0.3">
      <c r="C50" s="13" t="s">
        <v>7</v>
      </c>
      <c r="D50" s="1">
        <v>289985</v>
      </c>
      <c r="E50" s="1">
        <v>140504</v>
      </c>
      <c r="F50" s="1">
        <v>164401</v>
      </c>
      <c r="G50" s="1">
        <v>145037</v>
      </c>
      <c r="H50" s="1">
        <v>145691</v>
      </c>
      <c r="I50" s="1">
        <v>146473</v>
      </c>
      <c r="J50" s="1">
        <v>175337</v>
      </c>
      <c r="K50" s="1">
        <v>147644</v>
      </c>
      <c r="L50" s="1">
        <v>147180</v>
      </c>
      <c r="M50" s="1">
        <v>157494</v>
      </c>
      <c r="N50" s="1">
        <v>181037</v>
      </c>
      <c r="O50" s="1">
        <v>175361</v>
      </c>
      <c r="P50" s="14">
        <f t="shared" si="14"/>
        <v>2016144</v>
      </c>
      <c r="Q50" s="15"/>
      <c r="R50" s="13" t="s">
        <v>7</v>
      </c>
      <c r="S50" s="1">
        <v>41.41</v>
      </c>
      <c r="T50" s="1">
        <f>E50/3816</f>
        <v>36.819706498951781</v>
      </c>
      <c r="U50" s="1">
        <f>F50/4161</f>
        <v>39.509973564047101</v>
      </c>
      <c r="V50" s="1">
        <v>40.57</v>
      </c>
      <c r="W50" s="1">
        <v>39.53</v>
      </c>
      <c r="X50" s="1">
        <f>I50/4158</f>
        <v>35.226791726791724</v>
      </c>
      <c r="Y50" s="1">
        <f t="shared" ref="Y50" si="18">J50/4158</f>
        <v>42.168590668590667</v>
      </c>
      <c r="Z50" s="1">
        <v>41.17</v>
      </c>
      <c r="AA50" s="1">
        <v>42.49</v>
      </c>
      <c r="AB50" s="1">
        <v>44.14</v>
      </c>
      <c r="AC50" s="1">
        <v>44.08</v>
      </c>
      <c r="AD50" s="1">
        <f>O50/4408</f>
        <v>39.782441016333941</v>
      </c>
      <c r="AE50" s="17">
        <f t="shared" ref="AE50:AE61" si="19">AVERAGE(S50:AD50)</f>
        <v>40.574791956226271</v>
      </c>
    </row>
    <row r="51" spans="3:31" x14ac:dyDescent="0.3">
      <c r="C51" s="16" t="s">
        <v>6</v>
      </c>
      <c r="D51" s="17">
        <v>85866</v>
      </c>
      <c r="E51" s="17">
        <v>99242</v>
      </c>
      <c r="F51" s="17">
        <v>111310</v>
      </c>
      <c r="G51" s="17">
        <v>114411</v>
      </c>
      <c r="H51" s="17">
        <v>144503</v>
      </c>
      <c r="I51" s="17">
        <v>143931</v>
      </c>
      <c r="J51" s="17">
        <v>135826</v>
      </c>
      <c r="K51" s="17">
        <v>163470</v>
      </c>
      <c r="L51" s="17">
        <v>135748</v>
      </c>
      <c r="M51" s="17">
        <v>129082</v>
      </c>
      <c r="N51" s="17">
        <v>133832</v>
      </c>
      <c r="O51" s="17">
        <v>161629</v>
      </c>
      <c r="P51" s="17">
        <f t="shared" si="14"/>
        <v>1558850</v>
      </c>
      <c r="R51" s="16" t="s">
        <v>6</v>
      </c>
      <c r="S51" s="17">
        <v>153.88</v>
      </c>
      <c r="T51" s="17">
        <v>151.88</v>
      </c>
      <c r="U51" s="17">
        <v>154.6</v>
      </c>
      <c r="V51" s="17">
        <v>170.76</v>
      </c>
      <c r="W51" s="17">
        <v>180.18</v>
      </c>
      <c r="X51" s="17">
        <f>I51/547</f>
        <v>263.12797074954295</v>
      </c>
      <c r="Y51" s="17">
        <f t="shared" ref="Y51" si="20">J51/397</f>
        <v>342.13098236775818</v>
      </c>
      <c r="Z51" s="17">
        <f>K51/491</f>
        <v>332.9327902240326</v>
      </c>
      <c r="AA51" s="17">
        <f>L51/491</f>
        <v>276.47250509164968</v>
      </c>
      <c r="AB51" s="17">
        <v>171.42</v>
      </c>
      <c r="AC51" s="17">
        <v>183.83</v>
      </c>
      <c r="AD51" s="17">
        <f t="shared" ref="AD51" si="21">O51/397</f>
        <v>407.12594458438286</v>
      </c>
      <c r="AE51" s="17">
        <f t="shared" si="19"/>
        <v>232.3616827514472</v>
      </c>
    </row>
    <row r="52" spans="3:31" x14ac:dyDescent="0.3">
      <c r="C52" s="3" t="s">
        <v>8</v>
      </c>
      <c r="D52" s="1">
        <v>546302</v>
      </c>
      <c r="E52" s="1">
        <v>431548</v>
      </c>
      <c r="F52" s="1">
        <v>544312</v>
      </c>
      <c r="G52" s="1">
        <v>546483</v>
      </c>
      <c r="H52" s="1">
        <v>609887</v>
      </c>
      <c r="I52" s="1">
        <v>586052</v>
      </c>
      <c r="J52" s="1">
        <v>621007</v>
      </c>
      <c r="K52" s="1">
        <v>574818</v>
      </c>
      <c r="L52" s="1">
        <v>525627</v>
      </c>
      <c r="M52" s="1">
        <v>614708</v>
      </c>
      <c r="N52" s="1">
        <v>759453</v>
      </c>
      <c r="O52" s="1">
        <v>926935</v>
      </c>
      <c r="P52" s="1">
        <f t="shared" si="14"/>
        <v>7287132</v>
      </c>
      <c r="R52" s="3" t="s">
        <v>8</v>
      </c>
      <c r="S52" s="1">
        <v>180.83</v>
      </c>
      <c r="T52" s="1">
        <f>E52/3836</f>
        <v>112.49947862356622</v>
      </c>
      <c r="U52" s="1">
        <f>F52/3097</f>
        <v>175.75460122699386</v>
      </c>
      <c r="V52" s="1">
        <f>G52/2575</f>
        <v>212.22640776699029</v>
      </c>
      <c r="W52" s="1">
        <v>190.59</v>
      </c>
      <c r="X52" s="1">
        <f>I52/2851</f>
        <v>205.56015433181341</v>
      </c>
      <c r="Y52" s="1">
        <f>J52/2851</f>
        <v>217.82076464398457</v>
      </c>
      <c r="Z52" s="1">
        <f>K52/2708</f>
        <v>212.26661742983751</v>
      </c>
      <c r="AA52" s="1">
        <f>L52/2708</f>
        <v>194.10155096011817</v>
      </c>
      <c r="AB52" s="1">
        <v>182.08</v>
      </c>
      <c r="AC52" s="1">
        <v>180.87</v>
      </c>
      <c r="AD52" s="1">
        <f>O52/2900</f>
        <v>319.63275862068963</v>
      </c>
      <c r="AE52" s="17">
        <f t="shared" si="19"/>
        <v>198.68602780033279</v>
      </c>
    </row>
    <row r="53" spans="3:31" x14ac:dyDescent="0.3">
      <c r="C53" s="16" t="s">
        <v>9</v>
      </c>
      <c r="D53" s="17">
        <v>681986</v>
      </c>
      <c r="E53" s="17">
        <v>592054</v>
      </c>
      <c r="F53" s="17">
        <v>644277</v>
      </c>
      <c r="G53" s="17">
        <v>592327</v>
      </c>
      <c r="H53" s="17">
        <v>676197</v>
      </c>
      <c r="I53" s="17">
        <v>606056</v>
      </c>
      <c r="J53" s="17">
        <v>597684</v>
      </c>
      <c r="K53" s="17">
        <v>666573</v>
      </c>
      <c r="L53" s="17">
        <v>555878</v>
      </c>
      <c r="M53" s="17">
        <v>600799</v>
      </c>
      <c r="N53" s="17">
        <v>728388</v>
      </c>
      <c r="O53" s="17">
        <v>850088</v>
      </c>
      <c r="P53" s="17">
        <f t="shared" si="14"/>
        <v>7792307</v>
      </c>
      <c r="R53" s="16" t="s">
        <v>9</v>
      </c>
      <c r="S53" s="17">
        <v>167.61</v>
      </c>
      <c r="T53" s="17">
        <f>E53/3711</f>
        <v>159.54028563729452</v>
      </c>
      <c r="U53" s="17">
        <f>F53/4078</f>
        <v>157.98847474252085</v>
      </c>
      <c r="V53" s="17">
        <f>G53/3585</f>
        <v>165.22370990237098</v>
      </c>
      <c r="W53" s="17">
        <v>177.53</v>
      </c>
      <c r="X53" s="17">
        <f>I53/4111</f>
        <v>147.42301143274142</v>
      </c>
      <c r="Y53" s="17">
        <f>J53/4111</f>
        <v>145.38652396010704</v>
      </c>
      <c r="Z53" s="17">
        <f>K53/4804</f>
        <v>138.753746877602</v>
      </c>
      <c r="AA53" s="17">
        <f>L53/4804</f>
        <v>115.71149042464613</v>
      </c>
      <c r="AB53" s="17">
        <v>162.99</v>
      </c>
      <c r="AC53" s="17">
        <v>164.57</v>
      </c>
      <c r="AD53" s="17">
        <f>O53/5101</f>
        <v>166.6512448539502</v>
      </c>
      <c r="AE53" s="17">
        <f t="shared" si="19"/>
        <v>155.78154065260276</v>
      </c>
    </row>
    <row r="54" spans="3:31" x14ac:dyDescent="0.3">
      <c r="C54" s="3" t="s">
        <v>10</v>
      </c>
      <c r="D54" s="1">
        <v>317867</v>
      </c>
      <c r="E54" s="1">
        <v>328176</v>
      </c>
      <c r="F54" s="1">
        <v>311971</v>
      </c>
      <c r="G54" s="1">
        <v>301175</v>
      </c>
      <c r="H54" s="1">
        <v>351106</v>
      </c>
      <c r="I54" s="1">
        <v>354529</v>
      </c>
      <c r="J54" s="1">
        <v>298073</v>
      </c>
      <c r="K54" s="1">
        <v>363519</v>
      </c>
      <c r="L54" s="1">
        <v>313897</v>
      </c>
      <c r="M54" s="1">
        <v>353889</v>
      </c>
      <c r="N54" s="1">
        <v>340365</v>
      </c>
      <c r="O54" s="1">
        <v>375562</v>
      </c>
      <c r="P54" s="1">
        <f t="shared" si="14"/>
        <v>4010129</v>
      </c>
      <c r="R54" s="3" t="s">
        <v>10</v>
      </c>
      <c r="S54" s="1">
        <v>154.97999999999999</v>
      </c>
      <c r="T54" s="1">
        <v>151.94999999999999</v>
      </c>
      <c r="U54" s="1">
        <f>F54/1675</f>
        <v>186.25134328358209</v>
      </c>
      <c r="V54" s="1">
        <f>G54/1800</f>
        <v>167.31944444444446</v>
      </c>
      <c r="W54" s="1">
        <v>154.54</v>
      </c>
      <c r="X54" s="1">
        <f>I54/1569</f>
        <v>225.95857233906946</v>
      </c>
      <c r="Y54" s="1">
        <f>J54/1569</f>
        <v>189.9764181007011</v>
      </c>
      <c r="Z54" s="1">
        <f>K54/1707</f>
        <v>212.95782073813709</v>
      </c>
      <c r="AA54" s="1">
        <f>L54/1707</f>
        <v>183.88810779144697</v>
      </c>
      <c r="AB54" s="1">
        <v>160.86000000000001</v>
      </c>
      <c r="AC54" s="1">
        <v>159.57</v>
      </c>
      <c r="AD54" s="1">
        <f>O54/1611</f>
        <v>233.12352576039726</v>
      </c>
      <c r="AE54" s="17">
        <f t="shared" si="19"/>
        <v>181.78126937148156</v>
      </c>
    </row>
    <row r="55" spans="3:31" x14ac:dyDescent="0.3">
      <c r="C55" s="16" t="s">
        <v>11</v>
      </c>
      <c r="D55" s="17">
        <v>443875</v>
      </c>
      <c r="E55" s="17">
        <v>382719</v>
      </c>
      <c r="F55" s="17">
        <v>419502</v>
      </c>
      <c r="G55" s="17">
        <v>445983</v>
      </c>
      <c r="H55" s="17">
        <v>473150</v>
      </c>
      <c r="I55" s="17">
        <v>389701</v>
      </c>
      <c r="J55" s="17">
        <v>388689</v>
      </c>
      <c r="K55" s="17">
        <v>454533</v>
      </c>
      <c r="L55" s="17">
        <v>370737</v>
      </c>
      <c r="M55" s="17">
        <v>464719</v>
      </c>
      <c r="N55" s="17">
        <v>616471</v>
      </c>
      <c r="O55" s="17">
        <v>670854</v>
      </c>
      <c r="P55" s="17">
        <f t="shared" si="14"/>
        <v>5520933</v>
      </c>
      <c r="R55" s="16" t="s">
        <v>11</v>
      </c>
      <c r="S55" s="17">
        <v>155.63999999999999</v>
      </c>
      <c r="T55" s="17">
        <f>E55/2747</f>
        <v>139.32253367309792</v>
      </c>
      <c r="U55" s="17">
        <f>F55/2721</f>
        <v>154.17199558985666</v>
      </c>
      <c r="V55" s="17">
        <v>158.43</v>
      </c>
      <c r="W55" s="17">
        <v>182.75</v>
      </c>
      <c r="X55" s="17">
        <f>I55/2745</f>
        <v>141.96757741347906</v>
      </c>
      <c r="Y55" s="17">
        <v>166.99</v>
      </c>
      <c r="Z55" s="17">
        <v>169.95</v>
      </c>
      <c r="AA55" s="17">
        <v>175.66</v>
      </c>
      <c r="AB55" s="17">
        <v>184.27</v>
      </c>
      <c r="AC55" s="17">
        <v>184.35</v>
      </c>
      <c r="AD55" s="17">
        <f>O55/2899</f>
        <v>231.40876164194549</v>
      </c>
      <c r="AE55" s="17">
        <f t="shared" si="19"/>
        <v>170.40923902653162</v>
      </c>
    </row>
    <row r="56" spans="3:31" x14ac:dyDescent="0.3">
      <c r="C56" s="3" t="s">
        <v>12</v>
      </c>
      <c r="D56" s="1">
        <v>720118</v>
      </c>
      <c r="E56" s="1">
        <v>635319</v>
      </c>
      <c r="F56" s="1">
        <v>756206</v>
      </c>
      <c r="G56" s="1">
        <v>945118</v>
      </c>
      <c r="H56" s="1">
        <v>659483</v>
      </c>
      <c r="I56" s="1">
        <v>647739</v>
      </c>
      <c r="J56" s="1">
        <v>248646</v>
      </c>
      <c r="K56" s="1">
        <v>260559</v>
      </c>
      <c r="L56" s="1">
        <v>322214</v>
      </c>
      <c r="M56" s="1">
        <v>404456</v>
      </c>
      <c r="N56" s="1">
        <v>499077</v>
      </c>
      <c r="O56" s="1">
        <v>486476</v>
      </c>
      <c r="P56" s="1">
        <f t="shared" si="14"/>
        <v>6585411</v>
      </c>
      <c r="R56" s="3" t="s">
        <v>12</v>
      </c>
      <c r="S56" s="1">
        <v>206.99</v>
      </c>
      <c r="T56" s="1">
        <f>E56/2680</f>
        <v>237.05932835820894</v>
      </c>
      <c r="U56" s="1">
        <f>F56/2560</f>
        <v>295.39296875000002</v>
      </c>
      <c r="V56" s="1">
        <v>165.36</v>
      </c>
      <c r="W56" s="1">
        <v>264</v>
      </c>
      <c r="X56" s="1">
        <f>I56/2895</f>
        <v>223.74404145077719</v>
      </c>
      <c r="Y56" s="1">
        <v>216.66</v>
      </c>
      <c r="Z56" s="1">
        <v>215.07</v>
      </c>
      <c r="AA56" s="1">
        <v>201.09</v>
      </c>
      <c r="AB56" s="1">
        <v>222.84</v>
      </c>
      <c r="AC56" s="1">
        <v>221.42</v>
      </c>
      <c r="AD56" s="1">
        <f>O56/4500</f>
        <v>108.10577777777777</v>
      </c>
      <c r="AE56" s="17">
        <f t="shared" si="19"/>
        <v>214.81100969473036</v>
      </c>
    </row>
    <row r="57" spans="3:31" x14ac:dyDescent="0.3">
      <c r="C57" s="16" t="s">
        <v>14</v>
      </c>
      <c r="D57" s="17">
        <v>803455</v>
      </c>
      <c r="E57" s="17">
        <v>666399</v>
      </c>
      <c r="F57" s="17">
        <v>860772</v>
      </c>
      <c r="G57" s="17">
        <v>993407</v>
      </c>
      <c r="H57" s="17">
        <v>662049</v>
      </c>
      <c r="I57" s="17">
        <v>594344</v>
      </c>
      <c r="J57" s="17">
        <v>553869</v>
      </c>
      <c r="K57" s="17">
        <v>665207</v>
      </c>
      <c r="L57" s="17">
        <v>600298</v>
      </c>
      <c r="M57" s="17">
        <v>674161</v>
      </c>
      <c r="N57" s="17">
        <v>829270</v>
      </c>
      <c r="O57" s="17">
        <v>1040175</v>
      </c>
      <c r="P57" s="17">
        <f t="shared" si="14"/>
        <v>8943406</v>
      </c>
      <c r="R57" s="16" t="s">
        <v>14</v>
      </c>
      <c r="S57" s="17">
        <v>212.78</v>
      </c>
      <c r="T57" s="17">
        <v>211.22</v>
      </c>
      <c r="U57" s="17">
        <f>F57/4404</f>
        <v>195.45231607629427</v>
      </c>
      <c r="V57" s="17">
        <v>220.67</v>
      </c>
      <c r="W57" s="17">
        <v>234.6</v>
      </c>
      <c r="X57" s="17">
        <v>217.07</v>
      </c>
      <c r="Y57" s="17">
        <v>205.37</v>
      </c>
      <c r="Z57" s="17">
        <v>233.57</v>
      </c>
      <c r="AA57" s="17">
        <v>213.1</v>
      </c>
      <c r="AB57" s="17">
        <v>205.04</v>
      </c>
      <c r="AC57" s="17">
        <v>204.25</v>
      </c>
      <c r="AD57" s="17">
        <f>O57/3900</f>
        <v>266.71153846153845</v>
      </c>
      <c r="AE57" s="17">
        <f t="shared" si="19"/>
        <v>218.31948787815273</v>
      </c>
    </row>
    <row r="58" spans="3:31" x14ac:dyDescent="0.3">
      <c r="C58" s="3" t="s">
        <v>13</v>
      </c>
      <c r="D58" s="1">
        <v>289985</v>
      </c>
      <c r="E58" s="1">
        <v>219307</v>
      </c>
      <c r="F58" s="1">
        <v>256492</v>
      </c>
      <c r="G58" s="1">
        <v>242748</v>
      </c>
      <c r="H58" s="1">
        <v>244953</v>
      </c>
      <c r="I58" s="1">
        <v>238485</v>
      </c>
      <c r="J58" s="1">
        <v>229187</v>
      </c>
      <c r="K58" s="1">
        <v>228211</v>
      </c>
      <c r="L58" s="1">
        <v>226226</v>
      </c>
      <c r="M58" s="1">
        <v>276591</v>
      </c>
      <c r="N58" s="1">
        <v>296716</v>
      </c>
      <c r="O58" s="1">
        <v>403037</v>
      </c>
      <c r="P58" s="1">
        <f t="shared" si="14"/>
        <v>3151938</v>
      </c>
      <c r="R58" s="3" t="s">
        <v>13</v>
      </c>
      <c r="S58" s="1">
        <v>127.19</v>
      </c>
      <c r="T58" s="1">
        <f>E58/2029</f>
        <v>108.08624938393297</v>
      </c>
      <c r="U58" s="1">
        <f>F58/2547</f>
        <v>100.70357283078131</v>
      </c>
      <c r="V58" s="1">
        <v>137.15</v>
      </c>
      <c r="W58" s="1">
        <v>140.69999999999999</v>
      </c>
      <c r="X58" s="1">
        <f>I58/2015</f>
        <v>118.35483870967742</v>
      </c>
      <c r="Y58" s="1">
        <f>J58/2015</f>
        <v>113.74044665012407</v>
      </c>
      <c r="Z58" s="1">
        <f>K58/2157</f>
        <v>105.80018544274455</v>
      </c>
      <c r="AA58" s="1">
        <f>L58/2157</f>
        <v>104.87992582290218</v>
      </c>
      <c r="AB58" s="1">
        <v>120.05</v>
      </c>
      <c r="AC58" s="1">
        <v>111.09</v>
      </c>
      <c r="AD58" s="1">
        <f>O58/2101</f>
        <v>191.83103284150405</v>
      </c>
      <c r="AE58" s="17">
        <f t="shared" si="19"/>
        <v>123.29802097347222</v>
      </c>
    </row>
    <row r="59" spans="3:31" x14ac:dyDescent="0.3">
      <c r="C59" s="16" t="s">
        <v>24</v>
      </c>
      <c r="D59" s="17">
        <v>1326960</v>
      </c>
      <c r="E59" s="17">
        <v>1143132</v>
      </c>
      <c r="F59" s="17">
        <v>1397952</v>
      </c>
      <c r="G59" s="17">
        <v>1200896</v>
      </c>
      <c r="H59" s="17">
        <v>1380078</v>
      </c>
      <c r="I59" s="17">
        <v>1233611</v>
      </c>
      <c r="J59" s="17">
        <v>1153878</v>
      </c>
      <c r="K59" s="17">
        <v>1276761</v>
      </c>
      <c r="L59" s="17">
        <v>1028047</v>
      </c>
      <c r="M59" s="17">
        <v>942605</v>
      </c>
      <c r="N59" s="17">
        <v>1113696</v>
      </c>
      <c r="O59" s="17">
        <v>1030052</v>
      </c>
      <c r="P59" s="17">
        <f t="shared" si="14"/>
        <v>14227668</v>
      </c>
      <c r="R59" s="16" t="s">
        <v>24</v>
      </c>
      <c r="S59" s="17">
        <v>239.66</v>
      </c>
      <c r="T59" s="17">
        <v>249.55</v>
      </c>
      <c r="U59" s="17">
        <v>241.69</v>
      </c>
      <c r="V59" s="17">
        <v>239.65</v>
      </c>
      <c r="W59" s="17">
        <v>266.67</v>
      </c>
      <c r="X59" s="17">
        <v>255.66</v>
      </c>
      <c r="Y59" s="17">
        <v>244.64</v>
      </c>
      <c r="Z59" s="17">
        <v>232.94</v>
      </c>
      <c r="AA59" s="17">
        <v>236.44</v>
      </c>
      <c r="AB59" s="17">
        <v>238.88</v>
      </c>
      <c r="AC59" s="17">
        <v>239.5</v>
      </c>
      <c r="AD59" s="17"/>
      <c r="AE59" s="17">
        <f t="shared" si="19"/>
        <v>244.11636363636364</v>
      </c>
    </row>
    <row r="60" spans="3:31" x14ac:dyDescent="0.3">
      <c r="C60" s="3" t="s">
        <v>32</v>
      </c>
      <c r="D60" s="1">
        <v>1751073</v>
      </c>
      <c r="E60" s="1">
        <v>1514686</v>
      </c>
      <c r="F60" s="1">
        <v>1575971</v>
      </c>
      <c r="G60" s="1">
        <v>1463516</v>
      </c>
      <c r="H60" s="1">
        <v>1759475</v>
      </c>
      <c r="I60" s="1">
        <v>1462154</v>
      </c>
      <c r="J60" s="1">
        <v>1463830</v>
      </c>
      <c r="K60" s="1">
        <v>1505219</v>
      </c>
      <c r="L60" s="1">
        <v>1361249</v>
      </c>
      <c r="M60" s="1">
        <v>1379873</v>
      </c>
      <c r="N60" s="1">
        <v>1494768</v>
      </c>
      <c r="O60" s="1">
        <v>1638396</v>
      </c>
      <c r="P60" s="1">
        <f t="shared" si="14"/>
        <v>18370210</v>
      </c>
      <c r="R60" s="3" t="s">
        <v>32</v>
      </c>
      <c r="S60" s="1">
        <v>471.99</v>
      </c>
      <c r="T60" s="1">
        <v>464.91</v>
      </c>
      <c r="U60" s="1">
        <f>F60/4299</f>
        <v>366.59013724121888</v>
      </c>
      <c r="V60" s="1">
        <f t="shared" ref="V60:X60" si="22">G60/4299</f>
        <v>340.43172830890904</v>
      </c>
      <c r="W60" s="1">
        <f t="shared" si="22"/>
        <v>409.27541288671785</v>
      </c>
      <c r="X60" s="1">
        <f t="shared" si="22"/>
        <v>340.11491044428936</v>
      </c>
      <c r="Y60" s="1">
        <v>418.36</v>
      </c>
      <c r="Z60" s="1">
        <v>483.33</v>
      </c>
      <c r="AA60" s="1">
        <v>460.97</v>
      </c>
      <c r="AB60" s="1">
        <v>453.46</v>
      </c>
      <c r="AC60" s="1">
        <v>464.07</v>
      </c>
      <c r="AD60" s="1"/>
      <c r="AE60" s="17">
        <f t="shared" si="19"/>
        <v>424.86383535283045</v>
      </c>
    </row>
    <row r="61" spans="3:31" x14ac:dyDescent="0.3">
      <c r="C61" s="3" t="s">
        <v>39</v>
      </c>
      <c r="D61" s="1">
        <v>339760</v>
      </c>
      <c r="E61" s="1">
        <v>297362</v>
      </c>
      <c r="F61" s="1">
        <v>405909</v>
      </c>
      <c r="G61" s="1">
        <v>366955</v>
      </c>
      <c r="H61" s="1">
        <v>389120</v>
      </c>
      <c r="I61" s="1">
        <v>444944</v>
      </c>
      <c r="J61" s="1">
        <v>609218</v>
      </c>
      <c r="K61" s="1">
        <v>509858</v>
      </c>
      <c r="L61" s="1">
        <v>425448</v>
      </c>
      <c r="M61" s="1">
        <v>473246</v>
      </c>
      <c r="N61" s="1">
        <v>483644</v>
      </c>
      <c r="O61" s="1">
        <v>549647</v>
      </c>
      <c r="P61" s="1">
        <f t="shared" si="14"/>
        <v>5295111</v>
      </c>
      <c r="R61" s="3" t="s">
        <v>39</v>
      </c>
      <c r="S61" s="1">
        <f>D61/1605</f>
        <v>211.68847352024923</v>
      </c>
      <c r="T61" s="1">
        <f t="shared" ref="T61:AA61" si="23">E61/1605</f>
        <v>185.27227414330218</v>
      </c>
      <c r="U61" s="1">
        <f t="shared" si="23"/>
        <v>252.90280373831774</v>
      </c>
      <c r="V61" s="1">
        <f t="shared" si="23"/>
        <v>228.63239875389408</v>
      </c>
      <c r="W61" s="1">
        <f t="shared" si="23"/>
        <v>242.4423676012461</v>
      </c>
      <c r="X61" s="1">
        <f t="shared" si="23"/>
        <v>277.22367601246106</v>
      </c>
      <c r="Y61" s="1">
        <f t="shared" si="23"/>
        <v>379.57507788161996</v>
      </c>
      <c r="Z61" s="1">
        <f t="shared" si="23"/>
        <v>317.66853582554518</v>
      </c>
      <c r="AA61" s="1">
        <f t="shared" si="23"/>
        <v>265.07663551401868</v>
      </c>
      <c r="AB61" s="1">
        <v>295.64</v>
      </c>
      <c r="AC61" s="1">
        <v>283.16000000000003</v>
      </c>
      <c r="AD61" s="1"/>
      <c r="AE61" s="17">
        <f t="shared" si="19"/>
        <v>267.20747663551401</v>
      </c>
    </row>
    <row r="62" spans="3:31" x14ac:dyDescent="0.3">
      <c r="C62" s="3" t="s">
        <v>42</v>
      </c>
      <c r="D62" s="1"/>
      <c r="E62" s="1"/>
      <c r="F62" s="1"/>
      <c r="G62" s="1"/>
      <c r="H62" s="1"/>
      <c r="I62" s="1"/>
      <c r="J62" s="1">
        <v>112213</v>
      </c>
      <c r="K62" s="1">
        <v>911321</v>
      </c>
      <c r="L62" s="1">
        <v>703945</v>
      </c>
      <c r="M62" s="1">
        <v>766034</v>
      </c>
      <c r="N62" s="1">
        <v>591514</v>
      </c>
      <c r="O62" s="1">
        <v>614078</v>
      </c>
      <c r="P62" s="1">
        <v>614078</v>
      </c>
      <c r="R62" s="3" t="s">
        <v>42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>
        <v>574.29</v>
      </c>
      <c r="AD62" s="1"/>
      <c r="AE62" s="1"/>
    </row>
    <row r="63" spans="3:31" x14ac:dyDescent="0.3">
      <c r="C63" s="3" t="s">
        <v>3</v>
      </c>
      <c r="D63" s="1">
        <f>SUM(D49:D62)</f>
        <v>8005975</v>
      </c>
      <c r="E63" s="1">
        <f t="shared" ref="E63:O63" si="24">SUM(E49:E62)</f>
        <v>6856568</v>
      </c>
      <c r="F63" s="1">
        <f t="shared" si="24"/>
        <v>7899441</v>
      </c>
      <c r="G63" s="1">
        <f t="shared" si="24"/>
        <v>7730912</v>
      </c>
      <c r="H63" s="1">
        <f t="shared" si="24"/>
        <v>7884798</v>
      </c>
      <c r="I63" s="1">
        <f t="shared" si="24"/>
        <v>7314104</v>
      </c>
      <c r="J63" s="1">
        <f t="shared" si="24"/>
        <v>6966121</v>
      </c>
      <c r="K63" s="1">
        <f t="shared" si="24"/>
        <v>8136584</v>
      </c>
      <c r="L63" s="1">
        <f t="shared" si="24"/>
        <v>7039085</v>
      </c>
      <c r="M63" s="1">
        <f t="shared" si="24"/>
        <v>7628118</v>
      </c>
      <c r="N63" s="1">
        <f t="shared" si="24"/>
        <v>8528437</v>
      </c>
      <c r="O63" s="1">
        <f t="shared" si="24"/>
        <v>9343007</v>
      </c>
      <c r="P63" s="1">
        <f t="shared" si="14"/>
        <v>93333150</v>
      </c>
      <c r="R63" s="3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3:31" x14ac:dyDescent="0.3">
      <c r="O64" s="11"/>
    </row>
    <row r="65" spans="3:31" x14ac:dyDescent="0.3">
      <c r="O65" s="11"/>
    </row>
    <row r="66" spans="3:31" x14ac:dyDescent="0.3">
      <c r="C66" s="18" t="s">
        <v>0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8" t="s">
        <v>1</v>
      </c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8" spans="3:31" x14ac:dyDescent="0.3">
      <c r="C68" s="5" t="s">
        <v>2</v>
      </c>
      <c r="D68" s="6">
        <v>46023</v>
      </c>
      <c r="E68" s="6">
        <v>46054</v>
      </c>
      <c r="F68" s="6">
        <v>46082</v>
      </c>
      <c r="G68" s="6">
        <v>46113</v>
      </c>
      <c r="H68" s="6">
        <v>46143</v>
      </c>
      <c r="I68" s="6">
        <v>46174</v>
      </c>
      <c r="J68" s="6">
        <v>46204</v>
      </c>
      <c r="K68" s="6">
        <v>46235</v>
      </c>
      <c r="L68" s="6">
        <v>46266</v>
      </c>
      <c r="M68" s="6">
        <v>46296</v>
      </c>
      <c r="N68" s="6">
        <v>46327</v>
      </c>
      <c r="O68" s="6">
        <v>46357</v>
      </c>
      <c r="P68" s="8"/>
      <c r="R68" s="3" t="s">
        <v>2</v>
      </c>
      <c r="S68" s="6">
        <v>46023</v>
      </c>
      <c r="T68" s="6">
        <v>46054</v>
      </c>
      <c r="U68" s="6">
        <v>46082</v>
      </c>
      <c r="V68" s="6">
        <v>46113</v>
      </c>
      <c r="W68" s="6">
        <v>46143</v>
      </c>
      <c r="X68" s="6">
        <v>46174</v>
      </c>
      <c r="Y68" s="6">
        <v>46204</v>
      </c>
      <c r="Z68" s="6">
        <v>46235</v>
      </c>
      <c r="AA68" s="6">
        <v>46266</v>
      </c>
      <c r="AB68" s="6">
        <v>46296</v>
      </c>
      <c r="AC68" s="6">
        <v>46327</v>
      </c>
      <c r="AD68" s="6">
        <v>46357</v>
      </c>
      <c r="AE68" s="3" t="s">
        <v>4</v>
      </c>
    </row>
    <row r="69" spans="3:31" x14ac:dyDescent="0.3">
      <c r="C69" s="16" t="s">
        <v>5</v>
      </c>
      <c r="D69" s="17">
        <v>377952</v>
      </c>
      <c r="E69" s="17">
        <v>325640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f t="shared" ref="P69:P82" si="25">SUM(D69:O69)</f>
        <v>703592</v>
      </c>
      <c r="R69" s="16" t="s">
        <v>5</v>
      </c>
      <c r="S69" s="17">
        <v>107.25</v>
      </c>
      <c r="T69" s="17">
        <v>101.04</v>
      </c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>
        <f>AVERAGE(S69:AD69)</f>
        <v>104.14500000000001</v>
      </c>
    </row>
    <row r="70" spans="3:31" x14ac:dyDescent="0.3">
      <c r="C70" s="13" t="s">
        <v>7</v>
      </c>
      <c r="D70" s="1">
        <v>136290</v>
      </c>
      <c r="E70" s="1">
        <v>110280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4">
        <f t="shared" si="25"/>
        <v>246570</v>
      </c>
      <c r="Q70" s="15"/>
      <c r="R70" s="13" t="s">
        <v>7</v>
      </c>
      <c r="S70" s="1">
        <v>43.28</v>
      </c>
      <c r="T70" s="1">
        <v>39.81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7">
        <f t="shared" ref="AE70:AE83" si="26">AVERAGE(S70:AD70)</f>
        <v>41.545000000000002</v>
      </c>
    </row>
    <row r="71" spans="3:31" hidden="1" x14ac:dyDescent="0.3">
      <c r="C71" s="13" t="s">
        <v>44</v>
      </c>
      <c r="D71" s="1">
        <v>15774</v>
      </c>
      <c r="E71" s="1">
        <v>13611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4">
        <f t="shared" si="25"/>
        <v>29385</v>
      </c>
      <c r="Q71" s="15"/>
      <c r="R71" s="13" t="s">
        <v>44</v>
      </c>
      <c r="S71" s="1">
        <v>53.74</v>
      </c>
      <c r="T71" s="1">
        <v>100.08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7"/>
    </row>
    <row r="72" spans="3:31" x14ac:dyDescent="0.3">
      <c r="C72" s="16" t="s">
        <v>6</v>
      </c>
      <c r="D72" s="17">
        <v>97490</v>
      </c>
      <c r="E72" s="17">
        <v>125671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f t="shared" si="25"/>
        <v>223161</v>
      </c>
      <c r="R72" s="16" t="s">
        <v>6</v>
      </c>
      <c r="S72" s="17">
        <v>189.3</v>
      </c>
      <c r="T72" s="17">
        <v>222.43</v>
      </c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>
        <f t="shared" si="26"/>
        <v>205.86500000000001</v>
      </c>
    </row>
    <row r="73" spans="3:31" hidden="1" x14ac:dyDescent="0.3">
      <c r="C73" s="3" t="s">
        <v>8</v>
      </c>
      <c r="D73" s="1">
        <v>666856</v>
      </c>
      <c r="E73" s="1">
        <v>617984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>
        <f t="shared" si="25"/>
        <v>1284840</v>
      </c>
      <c r="R73" s="3" t="s">
        <v>8</v>
      </c>
      <c r="S73" s="1">
        <v>228.06</v>
      </c>
      <c r="T73" s="1">
        <v>207.03</v>
      </c>
      <c r="U73" s="1"/>
      <c r="V73" s="1"/>
      <c r="W73" s="1"/>
      <c r="X73" s="1"/>
      <c r="Y73" s="1"/>
      <c r="Z73" s="1"/>
      <c r="AA73" s="1"/>
      <c r="AB73" s="1"/>
      <c r="AC73" s="1"/>
      <c r="AD73" s="1"/>
      <c r="AE73" s="17">
        <f t="shared" si="26"/>
        <v>217.54500000000002</v>
      </c>
    </row>
    <row r="74" spans="3:31" hidden="1" x14ac:dyDescent="0.3">
      <c r="C74" s="16" t="s">
        <v>9</v>
      </c>
      <c r="D74" s="17">
        <v>703950</v>
      </c>
      <c r="E74" s="17">
        <v>567126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f t="shared" si="25"/>
        <v>1271076</v>
      </c>
      <c r="R74" s="16" t="s">
        <v>9</v>
      </c>
      <c r="S74" s="17">
        <v>167.65</v>
      </c>
      <c r="T74" s="17">
        <v>164.91</v>
      </c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>
        <f t="shared" si="26"/>
        <v>166.28</v>
      </c>
    </row>
    <row r="75" spans="3:31" x14ac:dyDescent="0.3">
      <c r="C75" s="3" t="s">
        <v>10</v>
      </c>
      <c r="D75" s="1">
        <v>415975</v>
      </c>
      <c r="E75" s="1">
        <v>365975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>
        <f t="shared" si="25"/>
        <v>781950</v>
      </c>
      <c r="R75" s="3" t="s">
        <v>10</v>
      </c>
      <c r="S75" s="1">
        <v>172.5</v>
      </c>
      <c r="T75" s="1">
        <v>183.54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7">
        <f t="shared" si="26"/>
        <v>178.01999999999998</v>
      </c>
    </row>
    <row r="76" spans="3:31" x14ac:dyDescent="0.3">
      <c r="C76" s="16" t="s">
        <v>11</v>
      </c>
      <c r="D76" s="17">
        <v>567373</v>
      </c>
      <c r="E76" s="17">
        <v>403527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f t="shared" si="25"/>
        <v>970900</v>
      </c>
      <c r="R76" s="16" t="s">
        <v>11</v>
      </c>
      <c r="S76" s="17">
        <v>204.39</v>
      </c>
      <c r="T76" s="17">
        <v>187.08</v>
      </c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>
        <f t="shared" si="26"/>
        <v>195.73500000000001</v>
      </c>
    </row>
    <row r="77" spans="3:31" x14ac:dyDescent="0.3">
      <c r="C77" s="3" t="s">
        <v>12</v>
      </c>
      <c r="D77" s="1">
        <v>319848</v>
      </c>
      <c r="E77" s="1">
        <v>305603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>
        <f t="shared" si="25"/>
        <v>625451</v>
      </c>
      <c r="R77" s="3" t="s">
        <v>12</v>
      </c>
      <c r="S77" s="1">
        <v>225.88</v>
      </c>
      <c r="T77" s="1">
        <v>212.22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7">
        <f t="shared" si="26"/>
        <v>219.05</v>
      </c>
    </row>
    <row r="78" spans="3:31" x14ac:dyDescent="0.3">
      <c r="C78" s="16" t="s">
        <v>14</v>
      </c>
      <c r="D78" s="17">
        <v>800542</v>
      </c>
      <c r="E78" s="17">
        <v>648341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f t="shared" si="25"/>
        <v>1448883</v>
      </c>
      <c r="R78" s="16" t="s">
        <v>14</v>
      </c>
      <c r="S78" s="17">
        <v>186.61</v>
      </c>
      <c r="T78" s="17">
        <v>168.01</v>
      </c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>
        <f t="shared" si="26"/>
        <v>177.31</v>
      </c>
    </row>
    <row r="79" spans="3:31" x14ac:dyDescent="0.3">
      <c r="C79" s="3" t="s">
        <v>13</v>
      </c>
      <c r="D79" s="1">
        <v>303264</v>
      </c>
      <c r="E79" s="1">
        <v>261933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>
        <f t="shared" si="25"/>
        <v>565197</v>
      </c>
      <c r="R79" s="3" t="s">
        <v>13</v>
      </c>
      <c r="S79" s="1">
        <v>116.37</v>
      </c>
      <c r="T79" s="1">
        <v>109.99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7">
        <f t="shared" si="26"/>
        <v>113.18</v>
      </c>
    </row>
    <row r="80" spans="3:31" x14ac:dyDescent="0.3">
      <c r="C80" s="16" t="s">
        <v>24</v>
      </c>
      <c r="D80" s="17">
        <v>1009627</v>
      </c>
      <c r="E80" s="17">
        <v>828155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>
        <f t="shared" si="25"/>
        <v>1837782</v>
      </c>
      <c r="R80" s="16" t="s">
        <v>24</v>
      </c>
      <c r="S80" s="17">
        <v>236.95</v>
      </c>
      <c r="T80" s="17">
        <v>240.74</v>
      </c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>
        <f t="shared" si="26"/>
        <v>238.845</v>
      </c>
    </row>
    <row r="81" spans="3:31" x14ac:dyDescent="0.3">
      <c r="C81" s="3" t="s">
        <v>32</v>
      </c>
      <c r="D81" s="1">
        <v>1361878</v>
      </c>
      <c r="E81" s="1">
        <v>1212749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>
        <f t="shared" si="25"/>
        <v>2574627</v>
      </c>
      <c r="R81" s="3" t="s">
        <v>32</v>
      </c>
      <c r="S81" s="1">
        <v>451.25</v>
      </c>
      <c r="T81" s="1">
        <v>460.95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7">
        <f t="shared" si="26"/>
        <v>456.1</v>
      </c>
    </row>
    <row r="82" spans="3:31" x14ac:dyDescent="0.3">
      <c r="C82" s="3" t="s">
        <v>39</v>
      </c>
      <c r="D82" s="1">
        <v>567098</v>
      </c>
      <c r="E82" s="1">
        <v>536680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>
        <f t="shared" si="25"/>
        <v>1103778</v>
      </c>
      <c r="R82" s="3" t="s">
        <v>39</v>
      </c>
      <c r="S82" s="1">
        <v>316.27999999999997</v>
      </c>
      <c r="T82" s="1">
        <v>295.69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7">
        <f t="shared" si="26"/>
        <v>305.98500000000001</v>
      </c>
    </row>
    <row r="83" spans="3:31" x14ac:dyDescent="0.3">
      <c r="C83" s="3" t="s">
        <v>42</v>
      </c>
      <c r="D83" s="1">
        <v>490243</v>
      </c>
      <c r="E83" s="1">
        <v>525125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>
        <v>614078</v>
      </c>
      <c r="R83" s="3" t="s">
        <v>42</v>
      </c>
      <c r="S83" s="1">
        <v>498.21</v>
      </c>
      <c r="T83" s="1">
        <v>495.4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>
        <f t="shared" si="26"/>
        <v>496.80499999999995</v>
      </c>
    </row>
    <row r="84" spans="3:31" x14ac:dyDescent="0.3">
      <c r="C84" s="3" t="s">
        <v>3</v>
      </c>
      <c r="D84" s="1">
        <f>SUM(D69:D83)</f>
        <v>7834160</v>
      </c>
      <c r="E84" s="1">
        <f>SUM(E69:E83)</f>
        <v>6848400</v>
      </c>
      <c r="F84" s="1">
        <f t="shared" ref="F84:I84" si="27">SUM(F69:F82)</f>
        <v>0</v>
      </c>
      <c r="G84" s="1">
        <f t="shared" si="27"/>
        <v>0</v>
      </c>
      <c r="H84" s="1">
        <f t="shared" si="27"/>
        <v>0</v>
      </c>
      <c r="I84" s="1">
        <f t="shared" si="27"/>
        <v>0</v>
      </c>
      <c r="J84" s="1">
        <f>SUM(J69:J83)</f>
        <v>0</v>
      </c>
      <c r="K84" s="1">
        <f>SUM(K69:K83)</f>
        <v>0</v>
      </c>
      <c r="L84" s="1">
        <f>SUM(L69:L83)</f>
        <v>0</v>
      </c>
      <c r="M84" s="1">
        <f>SUM(M69:M83)</f>
        <v>0</v>
      </c>
      <c r="N84" s="1">
        <f t="shared" ref="N84:O84" si="28">SUM(N69:N83)</f>
        <v>0</v>
      </c>
      <c r="O84" s="1">
        <f t="shared" si="28"/>
        <v>0</v>
      </c>
      <c r="P84" s="1">
        <f t="shared" ref="P84" si="29">SUM(D84:O84)</f>
        <v>14682560</v>
      </c>
      <c r="R84" s="3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3:31" x14ac:dyDescent="0.3">
      <c r="O85" s="11"/>
    </row>
    <row r="86" spans="3:31" x14ac:dyDescent="0.3">
      <c r="D86" s="9"/>
      <c r="E86" s="9"/>
      <c r="F86" s="9"/>
      <c r="G86" s="9"/>
      <c r="O86" s="9"/>
    </row>
    <row r="87" spans="3:31" x14ac:dyDescent="0.3">
      <c r="D87" s="52"/>
      <c r="E87" s="52"/>
      <c r="F87" s="52"/>
      <c r="G87" s="52"/>
    </row>
    <row r="88" spans="3:31" x14ac:dyDescent="0.3">
      <c r="R88" s="11"/>
    </row>
    <row r="89" spans="3:31" x14ac:dyDescent="0.3">
      <c r="C89" s="18" t="s">
        <v>15</v>
      </c>
      <c r="D89" s="20"/>
      <c r="E89" s="20"/>
      <c r="F89" s="20"/>
      <c r="G89" s="20"/>
      <c r="H89" s="20"/>
      <c r="I89" s="20"/>
      <c r="J89" s="9"/>
      <c r="K89" s="9"/>
      <c r="L89" s="9"/>
      <c r="M89" s="9"/>
      <c r="N89" s="9"/>
      <c r="O89" s="9"/>
    </row>
    <row r="90" spans="3:31" x14ac:dyDescent="0.3"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3:31" x14ac:dyDescent="0.3">
      <c r="C91" s="5" t="s">
        <v>2</v>
      </c>
      <c r="D91" s="6">
        <v>45292</v>
      </c>
      <c r="E91" s="6">
        <v>45323</v>
      </c>
      <c r="F91" s="6">
        <v>45352</v>
      </c>
      <c r="G91" s="6">
        <v>45383</v>
      </c>
      <c r="H91" s="6" t="s">
        <v>16</v>
      </c>
      <c r="I91" s="6">
        <v>45467</v>
      </c>
      <c r="J91" s="6">
        <v>45497</v>
      </c>
      <c r="K91" s="6">
        <v>45505</v>
      </c>
      <c r="L91" s="6">
        <v>45536</v>
      </c>
      <c r="M91" s="6">
        <v>45566</v>
      </c>
      <c r="N91" s="6">
        <v>45597</v>
      </c>
      <c r="O91" s="6">
        <v>45627</v>
      </c>
      <c r="R91" s="9"/>
    </row>
    <row r="92" spans="3:31" x14ac:dyDescent="0.3">
      <c r="C92" s="3" t="s">
        <v>5</v>
      </c>
      <c r="D92" s="1">
        <v>4766.55</v>
      </c>
      <c r="E92" s="1">
        <v>3947.51</v>
      </c>
      <c r="F92" s="1">
        <v>4598.88</v>
      </c>
      <c r="G92" s="1">
        <v>4032.94</v>
      </c>
      <c r="H92" s="1">
        <v>430</v>
      </c>
      <c r="I92" s="1">
        <v>1296</v>
      </c>
      <c r="J92" s="1">
        <v>579.47</v>
      </c>
      <c r="K92" s="1">
        <v>441.34</v>
      </c>
      <c r="L92" s="1">
        <v>2806.28</v>
      </c>
      <c r="M92" s="1">
        <v>3406.18</v>
      </c>
      <c r="N92" s="1">
        <v>3788.69</v>
      </c>
      <c r="O92" s="1">
        <v>3987.14</v>
      </c>
      <c r="R92" s="9"/>
    </row>
    <row r="93" spans="3:31" x14ac:dyDescent="0.3">
      <c r="C93" s="3" t="s">
        <v>7</v>
      </c>
      <c r="D93" s="1">
        <v>2101.11</v>
      </c>
      <c r="E93" s="1">
        <v>2287.21</v>
      </c>
      <c r="F93" s="1">
        <v>2293.65</v>
      </c>
      <c r="G93" s="1">
        <v>2318.4499999999998</v>
      </c>
      <c r="H93" s="1">
        <v>2505</v>
      </c>
      <c r="I93" s="1">
        <v>1686</v>
      </c>
      <c r="J93" s="1">
        <v>1624.86</v>
      </c>
      <c r="K93" s="1">
        <v>2187.59</v>
      </c>
      <c r="L93" s="1">
        <v>2599.0500000000002</v>
      </c>
      <c r="M93" s="1">
        <v>3129.97</v>
      </c>
      <c r="N93" s="1">
        <v>3481.47</v>
      </c>
      <c r="O93" s="1">
        <v>3621.57</v>
      </c>
    </row>
    <row r="94" spans="3:31" x14ac:dyDescent="0.3">
      <c r="C94" s="3" t="s">
        <v>6</v>
      </c>
      <c r="D94" s="1">
        <v>4351.08</v>
      </c>
      <c r="E94" s="1">
        <v>4260.8599999999997</v>
      </c>
      <c r="F94" s="1">
        <v>4947.62</v>
      </c>
      <c r="G94" s="1">
        <v>5075.74</v>
      </c>
      <c r="H94" s="1">
        <v>4374</v>
      </c>
      <c r="I94" s="1">
        <v>5444</v>
      </c>
      <c r="J94" s="1">
        <v>3176.84</v>
      </c>
      <c r="K94" s="1">
        <v>3497.39</v>
      </c>
      <c r="L94" s="1">
        <v>2659.3</v>
      </c>
      <c r="M94" s="1">
        <v>1574.88</v>
      </c>
      <c r="N94" s="1">
        <v>1192.25</v>
      </c>
      <c r="O94" s="1">
        <v>3947.6</v>
      </c>
    </row>
    <row r="95" spans="3:31" x14ac:dyDescent="0.3">
      <c r="C95" s="3" t="s">
        <v>8</v>
      </c>
      <c r="D95" s="1">
        <v>10877.24</v>
      </c>
      <c r="E95" s="1">
        <v>8053.13</v>
      </c>
      <c r="F95" s="1">
        <v>5991.11</v>
      </c>
      <c r="G95" s="1">
        <v>7059.68</v>
      </c>
      <c r="H95" s="1">
        <v>7999</v>
      </c>
      <c r="I95" s="1">
        <v>10043</v>
      </c>
      <c r="J95" s="1">
        <v>6688.98</v>
      </c>
      <c r="K95" s="1">
        <v>10755</v>
      </c>
      <c r="L95" s="1">
        <v>6176.54</v>
      </c>
      <c r="M95" s="1">
        <v>10818.64</v>
      </c>
      <c r="N95" s="1">
        <v>12033.58</v>
      </c>
      <c r="O95" s="1">
        <v>11954.82</v>
      </c>
    </row>
    <row r="96" spans="3:31" x14ac:dyDescent="0.3">
      <c r="C96" s="3" t="s">
        <v>9</v>
      </c>
      <c r="D96" s="1">
        <v>8313.26</v>
      </c>
      <c r="E96" s="1">
        <v>9500.19</v>
      </c>
      <c r="F96" s="1">
        <v>8768.0300000000007</v>
      </c>
      <c r="G96" s="1">
        <v>8474.6</v>
      </c>
      <c r="H96" s="1">
        <v>11977</v>
      </c>
      <c r="I96" s="1">
        <v>12182</v>
      </c>
      <c r="J96" s="1">
        <v>4520.68</v>
      </c>
      <c r="K96" s="1">
        <v>9515.82</v>
      </c>
      <c r="L96" s="1">
        <v>9104.17</v>
      </c>
      <c r="M96" s="1">
        <v>10689.25</v>
      </c>
      <c r="N96" s="1">
        <v>11889.65</v>
      </c>
      <c r="O96" s="1">
        <v>10794.24</v>
      </c>
    </row>
    <row r="97" spans="3:17" x14ac:dyDescent="0.3">
      <c r="C97" s="3" t="s">
        <v>10</v>
      </c>
      <c r="D97" s="1">
        <v>20373.73</v>
      </c>
      <c r="E97" s="1">
        <v>21574.36</v>
      </c>
      <c r="F97" s="1">
        <v>19401.16</v>
      </c>
      <c r="G97" s="1">
        <v>21065.59</v>
      </c>
      <c r="H97" s="1">
        <v>29134</v>
      </c>
      <c r="I97" s="1">
        <v>27762</v>
      </c>
      <c r="J97" s="1">
        <v>21016.28</v>
      </c>
      <c r="K97" s="1">
        <v>25648.78</v>
      </c>
      <c r="L97" s="1">
        <v>31971.7</v>
      </c>
      <c r="M97" s="1">
        <v>30619</v>
      </c>
      <c r="N97" s="1">
        <v>34057.51</v>
      </c>
      <c r="O97" s="1">
        <v>31258.63</v>
      </c>
    </row>
    <row r="98" spans="3:17" x14ac:dyDescent="0.3">
      <c r="C98" s="3" t="s">
        <v>11</v>
      </c>
      <c r="D98" s="1">
        <v>8709.2900000000009</v>
      </c>
      <c r="E98" s="1">
        <v>8147.13</v>
      </c>
      <c r="F98" s="1">
        <v>9372.6200000000008</v>
      </c>
      <c r="G98" s="1">
        <v>8300.18</v>
      </c>
      <c r="H98" s="1">
        <v>7088</v>
      </c>
      <c r="I98" s="1">
        <v>9047</v>
      </c>
      <c r="J98" s="1">
        <v>10411.49</v>
      </c>
      <c r="K98" s="1">
        <v>9035.77</v>
      </c>
      <c r="L98" s="1">
        <v>8639.09</v>
      </c>
      <c r="M98" s="1">
        <v>7950.75</v>
      </c>
      <c r="N98" s="1">
        <v>8843.6200000000008</v>
      </c>
      <c r="O98" s="1">
        <v>9774.81</v>
      </c>
    </row>
    <row r="99" spans="3:17" x14ac:dyDescent="0.3">
      <c r="C99" s="3" t="s">
        <v>12</v>
      </c>
      <c r="D99" s="1">
        <v>19301.54</v>
      </c>
      <c r="E99" s="1">
        <v>18328.189999999999</v>
      </c>
      <c r="F99" s="1">
        <v>19913.41</v>
      </c>
      <c r="G99" s="1">
        <v>13305.52</v>
      </c>
      <c r="H99" s="1">
        <v>11214</v>
      </c>
      <c r="I99" s="1">
        <v>5417</v>
      </c>
      <c r="J99" s="1">
        <v>4904.01</v>
      </c>
      <c r="K99" s="1">
        <v>19250.41</v>
      </c>
      <c r="L99" s="1">
        <v>14872.1</v>
      </c>
      <c r="M99" s="1">
        <v>17274.45</v>
      </c>
      <c r="N99" s="1">
        <v>12584.02</v>
      </c>
      <c r="O99" s="1">
        <v>14258.61</v>
      </c>
    </row>
    <row r="100" spans="3:17" x14ac:dyDescent="0.3">
      <c r="C100" s="3" t="s">
        <v>14</v>
      </c>
      <c r="D100" s="1"/>
      <c r="E100" s="1"/>
      <c r="F100" s="1"/>
      <c r="G100" s="1">
        <v>7292</v>
      </c>
      <c r="H100" s="1">
        <v>3295</v>
      </c>
      <c r="I100" s="1">
        <v>3573</v>
      </c>
      <c r="J100" s="1">
        <v>3193.3</v>
      </c>
      <c r="K100" s="1">
        <v>22528.55</v>
      </c>
      <c r="L100" s="1">
        <v>14542.82</v>
      </c>
      <c r="M100" s="1">
        <v>20448.849999999999</v>
      </c>
      <c r="N100" s="1">
        <v>19214.41</v>
      </c>
      <c r="O100" s="1">
        <v>18268.740000000002</v>
      </c>
    </row>
    <row r="101" spans="3:17" x14ac:dyDescent="0.3">
      <c r="C101" s="3" t="s">
        <v>13</v>
      </c>
      <c r="D101" s="1">
        <v>258.95999999999998</v>
      </c>
      <c r="E101" s="1">
        <v>1720.35</v>
      </c>
      <c r="F101" s="1">
        <v>1996.87</v>
      </c>
      <c r="G101" s="1">
        <v>2987.95</v>
      </c>
      <c r="H101" s="1">
        <v>4511</v>
      </c>
      <c r="I101" s="1">
        <v>5263</v>
      </c>
      <c r="J101" s="1">
        <v>5372</v>
      </c>
      <c r="K101" s="1">
        <v>6062.73</v>
      </c>
      <c r="L101" s="1">
        <v>6959.39</v>
      </c>
      <c r="M101" s="1">
        <v>4263.05</v>
      </c>
      <c r="N101" s="1">
        <v>4741.76</v>
      </c>
      <c r="O101" s="1">
        <v>4985.6499999999996</v>
      </c>
    </row>
    <row r="102" spans="3:17" x14ac:dyDescent="0.3">
      <c r="C102" s="5" t="s">
        <v>3</v>
      </c>
      <c r="D102" s="7">
        <f t="shared" ref="D102:I102" si="30">SUM(D92:D101)</f>
        <v>79052.760000000009</v>
      </c>
      <c r="E102" s="7">
        <f t="shared" si="30"/>
        <v>77818.930000000008</v>
      </c>
      <c r="F102" s="7">
        <f t="shared" si="30"/>
        <v>77283.349999999991</v>
      </c>
      <c r="G102" s="7">
        <f t="shared" si="30"/>
        <v>79912.649999999994</v>
      </c>
      <c r="H102" s="7">
        <f t="shared" si="30"/>
        <v>82527</v>
      </c>
      <c r="I102" s="7">
        <f t="shared" si="30"/>
        <v>81713</v>
      </c>
      <c r="J102" s="7">
        <f t="shared" ref="J102:K102" si="31">SUM(J92:J101)</f>
        <v>61487.91</v>
      </c>
      <c r="K102" s="7">
        <f t="shared" si="31"/>
        <v>108923.38</v>
      </c>
      <c r="L102" s="7">
        <f t="shared" ref="L102:M102" si="32">SUM(L92:L101)</f>
        <v>100330.44000000002</v>
      </c>
      <c r="M102" s="7">
        <f t="shared" si="32"/>
        <v>110175.02</v>
      </c>
      <c r="N102" s="7">
        <f t="shared" ref="N102:O102" si="33">SUM(N92:N101)</f>
        <v>111826.95999999999</v>
      </c>
      <c r="O102" s="7">
        <f t="shared" si="33"/>
        <v>112851.81</v>
      </c>
    </row>
    <row r="103" spans="3:17" x14ac:dyDescent="0.3">
      <c r="H103" s="10"/>
    </row>
    <row r="104" spans="3:17" x14ac:dyDescent="0.3">
      <c r="C104" s="5" t="s">
        <v>2</v>
      </c>
      <c r="D104" s="6">
        <v>45658</v>
      </c>
      <c r="E104" s="6">
        <v>45689</v>
      </c>
      <c r="F104" s="6">
        <v>45717</v>
      </c>
      <c r="G104" s="6">
        <v>45748</v>
      </c>
      <c r="H104" s="6">
        <v>45778</v>
      </c>
      <c r="I104" s="6">
        <v>45809</v>
      </c>
      <c r="J104" s="6">
        <v>45839</v>
      </c>
      <c r="K104" s="6">
        <v>45870</v>
      </c>
      <c r="L104" s="6">
        <v>45901</v>
      </c>
      <c r="M104" s="6">
        <v>45931</v>
      </c>
      <c r="N104" s="6">
        <v>45962</v>
      </c>
      <c r="O104" s="6">
        <v>45992</v>
      </c>
      <c r="P104" s="51"/>
    </row>
    <row r="105" spans="3:17" x14ac:dyDescent="0.3">
      <c r="C105" s="3" t="s">
        <v>5</v>
      </c>
      <c r="D105" s="1">
        <v>4788</v>
      </c>
      <c r="E105" s="1">
        <v>3989.14</v>
      </c>
      <c r="F105" s="1">
        <v>2955.66</v>
      </c>
      <c r="G105" s="1">
        <v>3425.66</v>
      </c>
      <c r="H105" s="1">
        <v>3597.11</v>
      </c>
      <c r="I105" s="1">
        <v>4165.29</v>
      </c>
      <c r="J105" s="1">
        <v>5679.9</v>
      </c>
      <c r="K105" s="1">
        <v>5987.11</v>
      </c>
      <c r="L105" s="1">
        <v>5765.22</v>
      </c>
      <c r="M105" s="1">
        <v>6671.26</v>
      </c>
      <c r="N105" s="1">
        <v>7985.11</v>
      </c>
      <c r="O105" s="1">
        <v>8344.43995</v>
      </c>
      <c r="P105" s="9"/>
      <c r="Q105" s="9"/>
    </row>
    <row r="106" spans="3:17" x14ac:dyDescent="0.3">
      <c r="C106" s="3" t="s">
        <v>7</v>
      </c>
      <c r="D106" s="1">
        <v>4481.47</v>
      </c>
      <c r="E106" s="1">
        <v>4268.55</v>
      </c>
      <c r="F106" s="1">
        <v>3459.22</v>
      </c>
      <c r="G106" s="1">
        <v>4154.22</v>
      </c>
      <c r="H106" s="1">
        <v>4598.96</v>
      </c>
      <c r="I106" s="1">
        <v>4965.7700000000004</v>
      </c>
      <c r="J106" s="1">
        <v>5121.55</v>
      </c>
      <c r="K106" s="1">
        <v>4265.55</v>
      </c>
      <c r="L106" s="1">
        <v>5954.36</v>
      </c>
      <c r="M106" s="1">
        <v>4697.6099999999997</v>
      </c>
      <c r="N106" s="1">
        <v>5119.25</v>
      </c>
      <c r="O106" s="1">
        <v>5349.61625</v>
      </c>
      <c r="P106" s="9"/>
      <c r="Q106" s="9"/>
    </row>
    <row r="107" spans="3:17" x14ac:dyDescent="0.3">
      <c r="C107" s="3" t="s">
        <v>6</v>
      </c>
      <c r="D107" s="1">
        <v>2192</v>
      </c>
      <c r="E107" s="1">
        <v>1985.14</v>
      </c>
      <c r="F107" s="1">
        <v>1977.14</v>
      </c>
      <c r="G107" s="1">
        <v>2114.5500000000002</v>
      </c>
      <c r="H107" s="1">
        <v>2541.87</v>
      </c>
      <c r="I107" s="1">
        <v>3155.96</v>
      </c>
      <c r="J107" s="1">
        <v>2937.29</v>
      </c>
      <c r="K107" s="1">
        <v>2311.96</v>
      </c>
      <c r="L107" s="1">
        <v>2957.25</v>
      </c>
      <c r="M107" s="1">
        <v>2394.11</v>
      </c>
      <c r="N107" s="1">
        <v>2966.36</v>
      </c>
      <c r="O107" s="1">
        <v>3099.8462</v>
      </c>
      <c r="P107" s="9"/>
      <c r="Q107" s="9"/>
    </row>
    <row r="108" spans="3:17" x14ac:dyDescent="0.3">
      <c r="C108" s="3" t="s">
        <v>8</v>
      </c>
      <c r="D108" s="1">
        <v>14033</v>
      </c>
      <c r="E108" s="1">
        <v>12654.22</v>
      </c>
      <c r="F108" s="1">
        <v>10458.629999999999</v>
      </c>
      <c r="G108" s="1">
        <v>10987.66</v>
      </c>
      <c r="H108" s="1">
        <v>11996.55</v>
      </c>
      <c r="I108" s="1">
        <v>10957.11</v>
      </c>
      <c r="J108" s="1">
        <f t="shared" ref="J108" si="34">J52*1.5%</f>
        <v>9315.1049999999996</v>
      </c>
      <c r="K108" s="1">
        <v>9687.66</v>
      </c>
      <c r="L108" s="1">
        <v>11658.61</v>
      </c>
      <c r="M108" s="1">
        <v>11987.62</v>
      </c>
      <c r="N108" s="1">
        <v>12698.99</v>
      </c>
      <c r="O108" s="1">
        <v>13270.44455</v>
      </c>
      <c r="P108" s="9"/>
      <c r="Q108" s="9"/>
    </row>
    <row r="109" spans="3:17" x14ac:dyDescent="0.3">
      <c r="C109" s="3" t="s">
        <v>9</v>
      </c>
      <c r="D109" s="1">
        <v>12889</v>
      </c>
      <c r="E109" s="1">
        <v>11698.35</v>
      </c>
      <c r="F109" s="1">
        <v>9104.25</v>
      </c>
      <c r="G109" s="1">
        <v>9258.41</v>
      </c>
      <c r="H109" s="1">
        <v>12587.66</v>
      </c>
      <c r="I109" s="1">
        <v>14987.22</v>
      </c>
      <c r="J109" s="1">
        <v>11165.29</v>
      </c>
      <c r="K109" s="1">
        <v>12694.62</v>
      </c>
      <c r="L109" s="1">
        <v>13574.57</v>
      </c>
      <c r="M109" s="1">
        <v>13697.14</v>
      </c>
      <c r="N109" s="1">
        <v>15126.24</v>
      </c>
      <c r="O109" s="1">
        <v>15806.9208</v>
      </c>
      <c r="P109" s="9"/>
      <c r="Q109" s="9"/>
    </row>
    <row r="110" spans="3:17" x14ac:dyDescent="0.3">
      <c r="C110" s="3" t="s">
        <v>10</v>
      </c>
      <c r="D110" s="1">
        <v>35051.57</v>
      </c>
      <c r="E110" s="1">
        <v>33957.550000000003</v>
      </c>
      <c r="F110" s="1">
        <v>28965.22</v>
      </c>
      <c r="G110" s="1">
        <v>29954.22</v>
      </c>
      <c r="H110" s="1">
        <v>34984.339999999997</v>
      </c>
      <c r="I110" s="1">
        <v>31597.65</v>
      </c>
      <c r="J110" s="1">
        <v>34462.25</v>
      </c>
      <c r="K110" s="1">
        <v>35947.519999999997</v>
      </c>
      <c r="L110" s="1">
        <v>39541.980000000003</v>
      </c>
      <c r="M110" s="1">
        <v>37569.21</v>
      </c>
      <c r="N110" s="1">
        <v>39572.74</v>
      </c>
      <c r="O110" s="1">
        <v>41353.513299999999</v>
      </c>
      <c r="P110" s="9"/>
      <c r="Q110" s="9"/>
    </row>
    <row r="111" spans="3:17" x14ac:dyDescent="0.3">
      <c r="C111" s="3" t="s">
        <v>11</v>
      </c>
      <c r="D111" s="1">
        <v>9434.6200000000008</v>
      </c>
      <c r="E111" s="1">
        <v>8657.2199999999993</v>
      </c>
      <c r="F111" s="1">
        <v>7988.66</v>
      </c>
      <c r="G111" s="1">
        <v>8163.11</v>
      </c>
      <c r="H111" s="1">
        <v>8574.36</v>
      </c>
      <c r="I111" s="1">
        <v>9847.2199999999993</v>
      </c>
      <c r="J111" s="1">
        <v>9952.66</v>
      </c>
      <c r="K111" s="1">
        <v>8982.2099999999991</v>
      </c>
      <c r="L111" s="1">
        <v>9897.6299999999992</v>
      </c>
      <c r="M111" s="1">
        <v>10164.620000000001</v>
      </c>
      <c r="N111" s="1">
        <v>12698.21</v>
      </c>
      <c r="O111" s="1">
        <v>13269.629449999999</v>
      </c>
      <c r="P111" s="9"/>
      <c r="Q111" s="9"/>
    </row>
    <row r="112" spans="3:17" x14ac:dyDescent="0.3">
      <c r="C112" s="3" t="s">
        <v>12</v>
      </c>
      <c r="D112" s="1">
        <v>13582.01</v>
      </c>
      <c r="E112" s="1">
        <v>14987.66</v>
      </c>
      <c r="F112" s="1">
        <v>11985.63</v>
      </c>
      <c r="G112" s="1">
        <v>12165.66</v>
      </c>
      <c r="H112" s="1">
        <v>10597.11</v>
      </c>
      <c r="I112" s="1">
        <v>12987.23</v>
      </c>
      <c r="J112" s="1">
        <v>11541.22</v>
      </c>
      <c r="K112" s="1">
        <v>8542.67</v>
      </c>
      <c r="L112" s="1">
        <v>7985.62</v>
      </c>
      <c r="M112" s="1">
        <v>9853.27</v>
      </c>
      <c r="N112" s="1">
        <v>11568</v>
      </c>
      <c r="O112" s="1">
        <v>12088.56</v>
      </c>
      <c r="P112" s="9"/>
      <c r="Q112" s="9"/>
    </row>
    <row r="113" spans="3:17" x14ac:dyDescent="0.3">
      <c r="C113" s="3" t="s">
        <v>14</v>
      </c>
      <c r="D113" s="1">
        <v>20214.41</v>
      </c>
      <c r="E113" s="1">
        <v>17264.11</v>
      </c>
      <c r="F113" s="1">
        <v>15284.88</v>
      </c>
      <c r="G113" s="1">
        <v>15998.13</v>
      </c>
      <c r="H113" s="1">
        <v>14984.11</v>
      </c>
      <c r="I113" s="1">
        <v>15998.13</v>
      </c>
      <c r="J113" s="1">
        <v>14987.22</v>
      </c>
      <c r="K113" s="1">
        <v>12544.14</v>
      </c>
      <c r="L113" s="1">
        <v>10634.52</v>
      </c>
      <c r="M113" s="1">
        <v>10967.24</v>
      </c>
      <c r="N113" s="1">
        <v>10956.21</v>
      </c>
      <c r="O113" s="1">
        <v>11449.239449999999</v>
      </c>
      <c r="P113" s="9"/>
      <c r="Q113" s="9"/>
    </row>
    <row r="114" spans="3:17" x14ac:dyDescent="0.3">
      <c r="C114" s="3" t="s">
        <v>13</v>
      </c>
      <c r="D114" s="1">
        <v>5841.74</v>
      </c>
      <c r="E114" s="1">
        <v>4751.62</v>
      </c>
      <c r="F114" s="1">
        <v>3908.47</v>
      </c>
      <c r="G114" s="1">
        <v>3488.26</v>
      </c>
      <c r="H114" s="1">
        <v>3947.22</v>
      </c>
      <c r="I114" s="1">
        <v>2958.66</v>
      </c>
      <c r="J114" s="1">
        <v>3437.81</v>
      </c>
      <c r="K114" s="1">
        <v>3211.98</v>
      </c>
      <c r="L114" s="1">
        <v>3597.64</v>
      </c>
      <c r="M114" s="1">
        <v>3251.52</v>
      </c>
      <c r="N114" s="1">
        <v>3941.22</v>
      </c>
      <c r="O114" s="1">
        <v>4118.5748999999996</v>
      </c>
      <c r="P114" s="9"/>
      <c r="Q114" s="9"/>
    </row>
    <row r="115" spans="3:17" x14ac:dyDescent="0.3">
      <c r="C115" s="5" t="s">
        <v>3</v>
      </c>
      <c r="D115" s="7">
        <f t="shared" ref="D115:O115" si="35">SUM(D105:D114)</f>
        <v>122507.82</v>
      </c>
      <c r="E115" s="7">
        <f t="shared" si="35"/>
        <v>114213.56000000001</v>
      </c>
      <c r="F115" s="7">
        <f t="shared" si="35"/>
        <v>96087.760000000009</v>
      </c>
      <c r="G115" s="7">
        <f t="shared" si="35"/>
        <v>99709.88</v>
      </c>
      <c r="H115" s="7">
        <f t="shared" si="35"/>
        <v>108409.29</v>
      </c>
      <c r="I115" s="7">
        <f t="shared" ref="I115" si="36">SUM(I105:I114)</f>
        <v>111620.24</v>
      </c>
      <c r="J115" s="7">
        <f>SUM(J105:J114)</f>
        <v>108600.29500000001</v>
      </c>
      <c r="K115" s="7">
        <f t="shared" si="35"/>
        <v>104175.42</v>
      </c>
      <c r="L115" s="7">
        <f t="shared" si="35"/>
        <v>111567.40000000001</v>
      </c>
      <c r="M115" s="7">
        <f t="shared" si="35"/>
        <v>111253.6</v>
      </c>
      <c r="N115" s="7">
        <f t="shared" si="35"/>
        <v>122632.32999999999</v>
      </c>
      <c r="O115" s="7">
        <f t="shared" si="35"/>
        <v>128150.78484999997</v>
      </c>
    </row>
    <row r="116" spans="3:17" x14ac:dyDescent="0.3">
      <c r="H116" s="9"/>
    </row>
    <row r="117" spans="3:17" x14ac:dyDescent="0.3">
      <c r="C117" s="5" t="s">
        <v>2</v>
      </c>
      <c r="D117" s="6">
        <v>46023</v>
      </c>
      <c r="E117" s="6">
        <v>46054</v>
      </c>
      <c r="F117" s="6">
        <v>46082</v>
      </c>
      <c r="G117" s="6">
        <v>46113</v>
      </c>
      <c r="H117" s="6">
        <v>46143</v>
      </c>
      <c r="I117" s="6">
        <v>46174</v>
      </c>
      <c r="J117" s="6">
        <v>46204</v>
      </c>
      <c r="K117" s="6">
        <v>46235</v>
      </c>
      <c r="L117" s="6">
        <v>46266</v>
      </c>
      <c r="M117" s="6">
        <v>46296</v>
      </c>
      <c r="N117" s="6">
        <v>46327</v>
      </c>
      <c r="O117" s="6">
        <v>46357</v>
      </c>
    </row>
    <row r="118" spans="3:17" x14ac:dyDescent="0.3">
      <c r="C118" s="3" t="s">
        <v>5</v>
      </c>
      <c r="D118" s="1">
        <v>9846.4391409999989</v>
      </c>
      <c r="E118" s="1">
        <v>8960.2596183099995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9"/>
      <c r="Q118" s="9"/>
    </row>
    <row r="119" spans="3:17" x14ac:dyDescent="0.3">
      <c r="C119" s="3" t="s">
        <v>7</v>
      </c>
      <c r="D119" s="1">
        <v>6312.5471749999997</v>
      </c>
      <c r="E119" s="1">
        <v>5426.3676523100003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Q119" s="9"/>
    </row>
    <row r="120" spans="3:17" x14ac:dyDescent="0.3">
      <c r="C120" s="3" t="s">
        <v>6</v>
      </c>
      <c r="D120" s="1">
        <v>3657.8185159999998</v>
      </c>
      <c r="E120" s="1">
        <v>2771.6389933099999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Q120" s="9"/>
    </row>
    <row r="121" spans="3:17" x14ac:dyDescent="0.3">
      <c r="C121" s="3" t="s">
        <v>8</v>
      </c>
      <c r="D121" s="1">
        <v>15659.124569</v>
      </c>
      <c r="E121" s="1">
        <v>14772.94504631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Q121" s="9"/>
    </row>
    <row r="122" spans="3:17" x14ac:dyDescent="0.3">
      <c r="C122" s="3" t="s">
        <v>9</v>
      </c>
      <c r="D122" s="1">
        <v>18652.166544</v>
      </c>
      <c r="E122" s="1">
        <v>17765.98702131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Q122" s="9"/>
    </row>
    <row r="123" spans="3:17" x14ac:dyDescent="0.3">
      <c r="C123" s="3" t="s">
        <v>10</v>
      </c>
      <c r="D123" s="1">
        <v>48797.145693999999</v>
      </c>
      <c r="E123" s="1">
        <v>47910.966171309999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Q123" s="9"/>
    </row>
    <row r="124" spans="3:17" x14ac:dyDescent="0.3">
      <c r="C124" s="3" t="s">
        <v>11</v>
      </c>
      <c r="D124" s="1">
        <v>15658.162750999998</v>
      </c>
      <c r="E124" s="1">
        <v>14771.983228309999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Q124" s="9"/>
    </row>
    <row r="125" spans="3:17" x14ac:dyDescent="0.3">
      <c r="C125" s="3" t="s">
        <v>12</v>
      </c>
      <c r="D125" s="1">
        <v>14264.5008</v>
      </c>
      <c r="E125" s="1">
        <v>13378.32127731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Q125" s="9"/>
    </row>
    <row r="126" spans="3:17" x14ac:dyDescent="0.3">
      <c r="C126" s="3" t="s">
        <v>14</v>
      </c>
      <c r="D126" s="1">
        <v>13510.102551</v>
      </c>
      <c r="E126" s="1">
        <v>12623.923028310001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Q126" s="9"/>
    </row>
    <row r="127" spans="3:17" x14ac:dyDescent="0.3">
      <c r="C127" s="3" t="s">
        <v>13</v>
      </c>
      <c r="D127" s="1">
        <v>4859.9183819999998</v>
      </c>
      <c r="E127" s="1">
        <v>3973.73885931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Q127" s="9"/>
    </row>
    <row r="128" spans="3:17" x14ac:dyDescent="0.3">
      <c r="C128" s="5" t="s">
        <v>3</v>
      </c>
      <c r="D128" s="7">
        <f t="shared" ref="D128:H128" si="37">SUM(D118:D127)</f>
        <v>151217.92612299998</v>
      </c>
      <c r="E128" s="7">
        <f>SUM(E118:E127)</f>
        <v>142356.13089609996</v>
      </c>
      <c r="F128" s="7">
        <f t="shared" si="37"/>
        <v>0</v>
      </c>
      <c r="G128" s="7">
        <f t="shared" si="37"/>
        <v>0</v>
      </c>
      <c r="H128" s="7">
        <f t="shared" si="37"/>
        <v>0</v>
      </c>
      <c r="I128" s="7">
        <f t="shared" ref="I128" si="38">SUM(I118:I127)</f>
        <v>0</v>
      </c>
      <c r="J128" s="7">
        <f>SUM(J118:J127)</f>
        <v>0</v>
      </c>
      <c r="K128" s="7">
        <f t="shared" ref="K128:O128" si="39">SUM(K118:K127)</f>
        <v>0</v>
      </c>
      <c r="L128" s="7">
        <f t="shared" si="39"/>
        <v>0</v>
      </c>
      <c r="M128" s="7">
        <f t="shared" si="39"/>
        <v>0</v>
      </c>
      <c r="N128" s="7">
        <f t="shared" si="39"/>
        <v>0</v>
      </c>
      <c r="O128" s="7">
        <f t="shared" si="39"/>
        <v>0</v>
      </c>
      <c r="Q128" s="9"/>
    </row>
    <row r="129" spans="3:17" x14ac:dyDescent="0.3">
      <c r="H129" s="9"/>
      <c r="Q129" s="9"/>
    </row>
    <row r="130" spans="3:17" x14ac:dyDescent="0.3">
      <c r="H130" s="9"/>
    </row>
    <row r="131" spans="3:17" x14ac:dyDescent="0.3">
      <c r="H131" s="11"/>
    </row>
    <row r="132" spans="3:17" x14ac:dyDescent="0.3">
      <c r="C132" s="5" t="s">
        <v>2</v>
      </c>
      <c r="D132" s="5" t="s">
        <v>17</v>
      </c>
      <c r="E132" s="5" t="s">
        <v>18</v>
      </c>
      <c r="F132" s="11"/>
      <c r="H132" s="9"/>
    </row>
    <row r="133" spans="3:17" x14ac:dyDescent="0.3">
      <c r="C133" s="3" t="s">
        <v>5</v>
      </c>
      <c r="D133" s="1">
        <v>9500</v>
      </c>
      <c r="E133" s="12">
        <v>0</v>
      </c>
      <c r="F133" s="9"/>
      <c r="H133" s="9"/>
    </row>
    <row r="134" spans="3:17" x14ac:dyDescent="0.3">
      <c r="C134" s="3" t="s">
        <v>7</v>
      </c>
      <c r="D134" s="1">
        <v>9589.33</v>
      </c>
      <c r="E134" s="1">
        <v>10159.01</v>
      </c>
    </row>
    <row r="135" spans="3:17" x14ac:dyDescent="0.3">
      <c r="C135" s="3" t="s">
        <v>6</v>
      </c>
      <c r="D135" s="1">
        <v>6008</v>
      </c>
      <c r="E135" s="1">
        <v>2700</v>
      </c>
    </row>
    <row r="136" spans="3:17" x14ac:dyDescent="0.3">
      <c r="C136" s="3" t="s">
        <v>8</v>
      </c>
      <c r="D136" s="1">
        <v>12973.13</v>
      </c>
      <c r="E136" s="1">
        <v>19339.490000000002</v>
      </c>
    </row>
    <row r="137" spans="3:17" x14ac:dyDescent="0.3">
      <c r="C137" s="3" t="s">
        <v>9</v>
      </c>
      <c r="D137" s="1">
        <v>20000</v>
      </c>
      <c r="E137" s="12">
        <v>0</v>
      </c>
    </row>
    <row r="138" spans="3:17" x14ac:dyDescent="0.3">
      <c r="C138" s="3" t="s">
        <v>10</v>
      </c>
      <c r="D138" s="1">
        <v>10900</v>
      </c>
      <c r="E138" s="12">
        <v>0</v>
      </c>
    </row>
    <row r="139" spans="3:17" x14ac:dyDescent="0.3">
      <c r="C139" s="3" t="s">
        <v>11</v>
      </c>
      <c r="D139" s="1">
        <v>13513.68</v>
      </c>
      <c r="E139" s="1">
        <v>12556.7</v>
      </c>
    </row>
    <row r="140" spans="3:17" x14ac:dyDescent="0.3">
      <c r="C140" s="3" t="s">
        <v>19</v>
      </c>
      <c r="D140" s="1">
        <v>15371</v>
      </c>
      <c r="E140" s="1">
        <v>11290</v>
      </c>
      <c r="G140" s="9"/>
    </row>
    <row r="141" spans="3:17" x14ac:dyDescent="0.3">
      <c r="C141" s="3" t="s">
        <v>20</v>
      </c>
      <c r="D141" s="1">
        <f>8384</f>
        <v>8384</v>
      </c>
      <c r="E141" s="1"/>
      <c r="F141" t="s">
        <v>21</v>
      </c>
      <c r="G141" s="9"/>
    </row>
    <row r="142" spans="3:17" x14ac:dyDescent="0.3">
      <c r="C142" s="3" t="s">
        <v>12</v>
      </c>
      <c r="D142" s="1">
        <v>8800</v>
      </c>
      <c r="E142" s="1" t="s">
        <v>22</v>
      </c>
    </row>
    <row r="143" spans="3:17" x14ac:dyDescent="0.3">
      <c r="C143" s="3" t="s">
        <v>13</v>
      </c>
      <c r="D143" s="1">
        <v>0</v>
      </c>
      <c r="E143" s="1">
        <v>16592</v>
      </c>
      <c r="F143" t="s">
        <v>23</v>
      </c>
    </row>
    <row r="144" spans="3:17" x14ac:dyDescent="0.3">
      <c r="C144" s="3" t="s">
        <v>40</v>
      </c>
      <c r="D144" s="1">
        <v>9000</v>
      </c>
      <c r="E144" s="1"/>
      <c r="F144" t="s">
        <v>41</v>
      </c>
    </row>
    <row r="145" spans="3:5" x14ac:dyDescent="0.3">
      <c r="C145" s="5" t="s">
        <v>3</v>
      </c>
      <c r="D145" s="7">
        <f>SUM(D133:D144)</f>
        <v>124039.13999999998</v>
      </c>
      <c r="E145" s="7">
        <f>SUM(E133:E143)</f>
        <v>72637.2</v>
      </c>
    </row>
    <row r="157" spans="3:5" x14ac:dyDescent="0.3">
      <c r="C157" s="4" t="s">
        <v>13</v>
      </c>
    </row>
  </sheetData>
  <pageMargins left="0.511811024" right="0.511811024" top="0.78740157499999996" bottom="0.78740157499999996" header="0.31496062000000002" footer="0.31496062000000002"/>
  <pageSetup paperSize="9" scale="27" fitToHeight="0" orientation="landscape" r:id="rId1"/>
  <ignoredErrors>
    <ignoredError sqref="Z33:Z34 Z38 AA40 AA32" formula="1"/>
    <ignoredError sqref="C44 D27:M27 D13:P13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1B54-DBD2-43D5-8D43-64A8D0603FD1}">
  <dimension ref="A2:AD51"/>
  <sheetViews>
    <sheetView showGridLines="0" zoomScale="70" zoomScaleNormal="70" workbookViewId="0">
      <selection activeCell="H12" sqref="H12"/>
    </sheetView>
  </sheetViews>
  <sheetFormatPr defaultRowHeight="14.4" x14ac:dyDescent="0.3"/>
  <cols>
    <col min="2" max="2" width="19.33203125" bestFit="1" customWidth="1"/>
    <col min="3" max="4" width="18.88671875" bestFit="1" customWidth="1"/>
    <col min="5" max="5" width="19" bestFit="1" customWidth="1"/>
    <col min="6" max="6" width="18.88671875" bestFit="1" customWidth="1"/>
    <col min="7" max="7" width="18.44140625" bestFit="1" customWidth="1"/>
    <col min="8" max="8" width="18.88671875" bestFit="1" customWidth="1"/>
    <col min="9" max="9" width="18.44140625" bestFit="1" customWidth="1"/>
    <col min="10" max="12" width="18.88671875" bestFit="1" customWidth="1"/>
    <col min="13" max="13" width="19.33203125" bestFit="1" customWidth="1"/>
    <col min="14" max="14" width="18.88671875" bestFit="1" customWidth="1"/>
    <col min="15" max="15" width="20.5546875" bestFit="1" customWidth="1"/>
    <col min="17" max="17" width="14.44140625" bestFit="1" customWidth="1"/>
    <col min="18" max="18" width="17.6640625" bestFit="1" customWidth="1"/>
    <col min="19" max="19" width="12.6640625" bestFit="1" customWidth="1"/>
    <col min="20" max="20" width="12.33203125" bestFit="1" customWidth="1"/>
    <col min="21" max="23" width="12.6640625" bestFit="1" customWidth="1"/>
    <col min="24" max="24" width="12.33203125" bestFit="1" customWidth="1"/>
    <col min="25" max="25" width="13" bestFit="1" customWidth="1"/>
    <col min="26" max="27" width="12.6640625" bestFit="1" customWidth="1"/>
    <col min="28" max="30" width="13" bestFit="1" customWidth="1"/>
  </cols>
  <sheetData>
    <row r="2" spans="2:30" x14ac:dyDescent="0.3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8" t="s">
        <v>1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spans="2:30" x14ac:dyDescent="0.3">
      <c r="B3" s="4"/>
    </row>
    <row r="4" spans="2:30" x14ac:dyDescent="0.3">
      <c r="B4" s="5" t="s">
        <v>2</v>
      </c>
      <c r="C4" s="6">
        <v>45315</v>
      </c>
      <c r="D4" s="6">
        <v>45346</v>
      </c>
      <c r="E4" s="6">
        <v>45375</v>
      </c>
      <c r="F4" s="6">
        <v>45406</v>
      </c>
      <c r="G4" s="6">
        <v>45436</v>
      </c>
      <c r="H4" s="6">
        <v>45467</v>
      </c>
      <c r="I4" s="6">
        <v>45497</v>
      </c>
      <c r="J4" s="6">
        <v>45528</v>
      </c>
      <c r="K4" s="6">
        <v>45559</v>
      </c>
      <c r="L4" s="6">
        <v>45589</v>
      </c>
      <c r="M4" s="6">
        <v>45620</v>
      </c>
      <c r="N4" s="6">
        <v>45650</v>
      </c>
      <c r="O4" s="8"/>
      <c r="Q4" s="3" t="s">
        <v>2</v>
      </c>
      <c r="R4" s="2">
        <v>45315</v>
      </c>
      <c r="S4" s="2">
        <v>45346</v>
      </c>
      <c r="T4" s="2">
        <v>45375</v>
      </c>
      <c r="U4" s="2">
        <v>45406</v>
      </c>
      <c r="V4" s="2">
        <v>45436</v>
      </c>
      <c r="W4" s="2">
        <v>45467</v>
      </c>
      <c r="X4" s="2">
        <v>45497</v>
      </c>
      <c r="Y4" s="2">
        <v>45528</v>
      </c>
      <c r="Z4" s="2">
        <v>45559</v>
      </c>
      <c r="AA4" s="2">
        <v>45589</v>
      </c>
      <c r="AB4" s="2">
        <v>45620</v>
      </c>
      <c r="AC4" s="2">
        <v>45650</v>
      </c>
      <c r="AD4" s="3" t="s">
        <v>4</v>
      </c>
    </row>
    <row r="5" spans="2:30" x14ac:dyDescent="0.3">
      <c r="B5" s="16" t="s">
        <v>24</v>
      </c>
      <c r="C5" s="17">
        <v>1251318</v>
      </c>
      <c r="D5" s="17">
        <v>1088565</v>
      </c>
      <c r="E5" s="17">
        <v>1341167</v>
      </c>
      <c r="F5" s="17">
        <v>1400353</v>
      </c>
      <c r="G5" s="17">
        <v>1637410</v>
      </c>
      <c r="H5" s="17">
        <v>1475059</v>
      </c>
      <c r="I5" s="17">
        <v>1440410</v>
      </c>
      <c r="J5" s="17">
        <v>1532996</v>
      </c>
      <c r="K5" s="17">
        <v>1382494</v>
      </c>
      <c r="L5" s="17">
        <v>1283083</v>
      </c>
      <c r="M5" s="17">
        <v>1549891</v>
      </c>
      <c r="N5" s="17">
        <v>1636354</v>
      </c>
      <c r="O5" s="17">
        <f t="shared" ref="O5:O7" si="0">SUM(C5:N5)</f>
        <v>17019100</v>
      </c>
      <c r="Q5" s="16" t="s">
        <v>24</v>
      </c>
      <c r="R5" s="17">
        <v>132.02000000000001</v>
      </c>
      <c r="S5" s="17">
        <v>149.36000000000001</v>
      </c>
      <c r="T5" s="17">
        <v>154.12</v>
      </c>
      <c r="U5" s="17">
        <v>153.91999999999999</v>
      </c>
      <c r="V5" s="17">
        <v>122.4</v>
      </c>
      <c r="W5" s="17">
        <v>155.02000000000001</v>
      </c>
      <c r="X5" s="17">
        <v>154.16999999999999</v>
      </c>
      <c r="Y5" s="17">
        <v>165.39</v>
      </c>
      <c r="Z5" s="17">
        <v>154.24</v>
      </c>
      <c r="AA5" s="17">
        <v>151.99</v>
      </c>
      <c r="AB5" s="17">
        <f>M5/9658</f>
        <v>160.47742803893146</v>
      </c>
      <c r="AC5" s="17">
        <f>N5/9541</f>
        <v>171.50759878419453</v>
      </c>
      <c r="AD5" s="17">
        <f>AVERAGE(R5:AA5)</f>
        <v>149.26299999999998</v>
      </c>
    </row>
    <row r="6" spans="2:30" x14ac:dyDescent="0.3">
      <c r="B6" s="13" t="s">
        <v>25</v>
      </c>
      <c r="C6" s="1"/>
      <c r="D6" s="1"/>
      <c r="E6" s="1"/>
      <c r="F6" s="1"/>
      <c r="G6" s="1"/>
      <c r="H6" s="1"/>
      <c r="I6" s="1"/>
      <c r="J6" s="1">
        <v>294035</v>
      </c>
      <c r="K6" s="1">
        <v>1698814</v>
      </c>
      <c r="L6" s="1">
        <v>1861758</v>
      </c>
      <c r="M6" s="1">
        <v>2055595</v>
      </c>
      <c r="N6" s="1">
        <v>1979104</v>
      </c>
      <c r="O6" s="14">
        <f t="shared" si="0"/>
        <v>7889306</v>
      </c>
      <c r="P6" s="15"/>
      <c r="Q6" s="13" t="s">
        <v>25</v>
      </c>
      <c r="R6" s="1"/>
      <c r="S6" s="1"/>
      <c r="T6" s="1"/>
      <c r="U6" s="1"/>
      <c r="V6" s="1"/>
      <c r="W6" s="1"/>
      <c r="X6" s="1"/>
      <c r="Y6" s="1">
        <v>449.6</v>
      </c>
      <c r="Z6" s="1">
        <v>286.91000000000003</v>
      </c>
      <c r="AA6" s="1">
        <v>217.95</v>
      </c>
      <c r="AB6" s="1">
        <f>M6/9000</f>
        <v>228.39944444444444</v>
      </c>
      <c r="AC6" s="1">
        <f>N6/8158</f>
        <v>242.59671488109831</v>
      </c>
      <c r="AD6" s="1">
        <f>AVERAGE(R6:AC6)</f>
        <v>285.09123186510857</v>
      </c>
    </row>
    <row r="7" spans="2:30" x14ac:dyDescent="0.3">
      <c r="B7" s="3" t="s">
        <v>3</v>
      </c>
      <c r="C7" s="1">
        <f t="shared" ref="C7:N7" si="1">SUM(C5:C6)</f>
        <v>1251318</v>
      </c>
      <c r="D7" s="1">
        <f t="shared" si="1"/>
        <v>1088565</v>
      </c>
      <c r="E7" s="1">
        <f t="shared" si="1"/>
        <v>1341167</v>
      </c>
      <c r="F7" s="1">
        <f t="shared" si="1"/>
        <v>1400353</v>
      </c>
      <c r="G7" s="1">
        <f t="shared" si="1"/>
        <v>1637410</v>
      </c>
      <c r="H7" s="1">
        <f t="shared" si="1"/>
        <v>1475059</v>
      </c>
      <c r="I7" s="1">
        <f t="shared" si="1"/>
        <v>1440410</v>
      </c>
      <c r="J7" s="1">
        <f t="shared" si="1"/>
        <v>1827031</v>
      </c>
      <c r="K7" s="1">
        <f t="shared" si="1"/>
        <v>3081308</v>
      </c>
      <c r="L7" s="1">
        <f t="shared" si="1"/>
        <v>3144841</v>
      </c>
      <c r="M7" s="1">
        <f t="shared" si="1"/>
        <v>3605486</v>
      </c>
      <c r="N7" s="1">
        <f t="shared" si="1"/>
        <v>3615458</v>
      </c>
      <c r="O7" s="1">
        <f t="shared" si="0"/>
        <v>24908406</v>
      </c>
      <c r="Q7" s="3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9" spans="2:30" x14ac:dyDescent="0.3">
      <c r="B9" s="18" t="s">
        <v>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8" t="s">
        <v>1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2:30" x14ac:dyDescent="0.3">
      <c r="B10" s="4"/>
    </row>
    <row r="11" spans="2:30" x14ac:dyDescent="0.3">
      <c r="B11" s="5" t="s">
        <v>2</v>
      </c>
      <c r="C11" s="6">
        <v>45658</v>
      </c>
      <c r="D11" s="6">
        <v>45689</v>
      </c>
      <c r="E11" s="6">
        <v>45717</v>
      </c>
      <c r="F11" s="6">
        <v>45748</v>
      </c>
      <c r="G11" s="6">
        <v>45778</v>
      </c>
      <c r="H11" s="6">
        <v>45809</v>
      </c>
      <c r="I11" s="6">
        <v>45839</v>
      </c>
      <c r="J11" s="6">
        <v>45870</v>
      </c>
      <c r="K11" s="6">
        <v>45901</v>
      </c>
      <c r="L11" s="6">
        <v>45931</v>
      </c>
      <c r="M11" s="6">
        <v>45962</v>
      </c>
      <c r="N11" s="6">
        <v>45992</v>
      </c>
      <c r="O11" s="8"/>
      <c r="Q11" s="3" t="s">
        <v>2</v>
      </c>
      <c r="R11" s="2">
        <v>45658</v>
      </c>
      <c r="S11" s="2">
        <v>45689</v>
      </c>
      <c r="T11" s="2">
        <v>45717</v>
      </c>
      <c r="U11" s="2">
        <v>45748</v>
      </c>
      <c r="V11" s="2">
        <v>45778</v>
      </c>
      <c r="W11" s="2">
        <v>45809</v>
      </c>
      <c r="X11" s="2">
        <v>45839</v>
      </c>
      <c r="Y11" s="2">
        <v>45870</v>
      </c>
      <c r="Z11" s="2">
        <v>45901</v>
      </c>
      <c r="AA11" s="2">
        <v>45931</v>
      </c>
      <c r="AB11" s="2">
        <v>45962</v>
      </c>
      <c r="AC11" s="2">
        <v>45992</v>
      </c>
      <c r="AD11" s="3" t="s">
        <v>4</v>
      </c>
    </row>
    <row r="12" spans="2:30" x14ac:dyDescent="0.3">
      <c r="B12" s="16" t="s">
        <v>24</v>
      </c>
      <c r="C12" s="17">
        <v>1326960</v>
      </c>
      <c r="D12" s="17">
        <v>1143132</v>
      </c>
      <c r="E12" s="17">
        <v>1397952</v>
      </c>
      <c r="F12" s="17">
        <v>1200896</v>
      </c>
      <c r="G12" s="17">
        <v>1380078</v>
      </c>
      <c r="H12" s="17"/>
      <c r="I12" s="17"/>
      <c r="J12" s="17"/>
      <c r="K12" s="17"/>
      <c r="L12" s="17"/>
      <c r="M12" s="17"/>
      <c r="N12" s="17"/>
      <c r="O12" s="17">
        <f t="shared" ref="O12:O14" si="2">SUM(C12:N12)</f>
        <v>6449018</v>
      </c>
      <c r="Q12" s="16" t="s">
        <v>24</v>
      </c>
      <c r="R12" s="17">
        <v>157.63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2:30" x14ac:dyDescent="0.3">
      <c r="B13" s="13" t="s">
        <v>25</v>
      </c>
      <c r="C13" s="1">
        <v>1751073</v>
      </c>
      <c r="D13" s="1">
        <v>1514686</v>
      </c>
      <c r="E13" s="1">
        <v>1575971</v>
      </c>
      <c r="F13" s="1">
        <v>1463516</v>
      </c>
      <c r="G13" s="1">
        <v>1759475</v>
      </c>
      <c r="H13" s="1"/>
      <c r="I13" s="1"/>
      <c r="J13" s="1"/>
      <c r="K13" s="1"/>
      <c r="L13" s="1"/>
      <c r="M13" s="1"/>
      <c r="N13" s="1"/>
      <c r="O13" s="14">
        <f t="shared" si="2"/>
        <v>8064721</v>
      </c>
      <c r="P13" s="15"/>
      <c r="Q13" s="13" t="s">
        <v>25</v>
      </c>
      <c r="R13" s="1">
        <f>C13/7661</f>
        <v>228.56976895966585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2:30" x14ac:dyDescent="0.3">
      <c r="B14" s="3" t="s">
        <v>3</v>
      </c>
      <c r="C14" s="1">
        <f t="shared" ref="C14:N14" si="3">SUM(C12:C13)</f>
        <v>3078033</v>
      </c>
      <c r="D14" s="1">
        <f t="shared" si="3"/>
        <v>2657818</v>
      </c>
      <c r="E14" s="1">
        <f t="shared" si="3"/>
        <v>2973923</v>
      </c>
      <c r="F14" s="1">
        <f t="shared" si="3"/>
        <v>2664412</v>
      </c>
      <c r="G14" s="1">
        <f t="shared" si="3"/>
        <v>3139553</v>
      </c>
      <c r="H14" s="1">
        <f t="shared" si="3"/>
        <v>0</v>
      </c>
      <c r="I14" s="1">
        <f t="shared" si="3"/>
        <v>0</v>
      </c>
      <c r="J14" s="1">
        <f t="shared" si="3"/>
        <v>0</v>
      </c>
      <c r="K14" s="1">
        <f t="shared" si="3"/>
        <v>0</v>
      </c>
      <c r="L14" s="1">
        <f t="shared" si="3"/>
        <v>0</v>
      </c>
      <c r="M14" s="1">
        <f t="shared" si="3"/>
        <v>0</v>
      </c>
      <c r="N14" s="1">
        <f t="shared" si="3"/>
        <v>0</v>
      </c>
      <c r="O14" s="1">
        <f t="shared" si="2"/>
        <v>14513739</v>
      </c>
      <c r="Q14" s="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20" spans="1:15" x14ac:dyDescent="0.3">
      <c r="B20" s="18" t="s">
        <v>26</v>
      </c>
      <c r="C20" s="20"/>
      <c r="D20" s="20"/>
      <c r="E20" s="20"/>
      <c r="F20" s="20"/>
      <c r="G20" s="20"/>
      <c r="H20" s="20"/>
      <c r="I20" s="9"/>
      <c r="J20" s="9"/>
      <c r="K20" s="9"/>
    </row>
    <row r="21" spans="1:15" x14ac:dyDescent="0.3">
      <c r="B21" s="4"/>
      <c r="C21" s="10"/>
      <c r="D21" s="10"/>
      <c r="E21" s="10"/>
      <c r="F21" s="10"/>
      <c r="G21" s="10"/>
      <c r="H21" s="10"/>
      <c r="I21" s="10"/>
      <c r="J21" s="10"/>
      <c r="K21" s="10"/>
    </row>
    <row r="22" spans="1:15" x14ac:dyDescent="0.3">
      <c r="B22" s="5" t="s">
        <v>2</v>
      </c>
      <c r="C22" s="6">
        <v>45292</v>
      </c>
      <c r="D22" s="6">
        <v>45323</v>
      </c>
      <c r="E22" s="6">
        <v>45352</v>
      </c>
      <c r="F22" s="6">
        <v>45383</v>
      </c>
      <c r="G22" s="6" t="s">
        <v>16</v>
      </c>
      <c r="H22" s="6">
        <v>45467</v>
      </c>
      <c r="I22" s="6">
        <v>45497</v>
      </c>
      <c r="J22" s="6">
        <v>45505</v>
      </c>
      <c r="K22" s="6">
        <v>45536</v>
      </c>
      <c r="L22" s="6">
        <v>45566</v>
      </c>
      <c r="M22" s="6">
        <v>45597</v>
      </c>
      <c r="N22" s="6">
        <v>45627</v>
      </c>
      <c r="O22" s="6"/>
    </row>
    <row r="23" spans="1:15" x14ac:dyDescent="0.3">
      <c r="B23" s="3" t="s">
        <v>24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1">
        <f>SUM(C23:N23)</f>
        <v>0</v>
      </c>
    </row>
    <row r="24" spans="1:15" x14ac:dyDescent="0.3">
      <c r="A24" s="51">
        <v>1.6500000000000001E-2</v>
      </c>
      <c r="B24" s="22" t="s">
        <v>33</v>
      </c>
      <c r="C24" s="1"/>
      <c r="D24" s="1"/>
      <c r="E24" s="1">
        <v>1473.33</v>
      </c>
      <c r="F24" s="1"/>
      <c r="G24" s="1"/>
      <c r="H24" s="1"/>
      <c r="I24" s="1"/>
      <c r="J24" s="1"/>
      <c r="K24" s="1"/>
      <c r="L24" s="1"/>
      <c r="M24" s="1"/>
      <c r="N24" s="1"/>
      <c r="O24" s="21"/>
    </row>
    <row r="25" spans="1:15" x14ac:dyDescent="0.3">
      <c r="A25" s="51">
        <v>7.5999999999999998E-2</v>
      </c>
      <c r="B25" s="22" t="s">
        <v>34</v>
      </c>
      <c r="C25" s="1"/>
      <c r="D25" s="1"/>
      <c r="E25" s="1">
        <v>4889.3100000000004</v>
      </c>
      <c r="F25" s="1"/>
      <c r="G25" s="1"/>
      <c r="H25" s="1"/>
      <c r="I25" s="1"/>
      <c r="J25" s="1"/>
      <c r="K25" s="1"/>
      <c r="L25" s="1"/>
      <c r="M25" s="1"/>
      <c r="N25" s="1"/>
      <c r="O25" s="21"/>
    </row>
    <row r="26" spans="1:15" x14ac:dyDescent="0.3">
      <c r="B26" s="22" t="s">
        <v>35</v>
      </c>
      <c r="C26" s="1"/>
      <c r="D26" s="1"/>
      <c r="E26" s="1">
        <v>6535.44</v>
      </c>
      <c r="F26" s="1"/>
      <c r="G26" s="1"/>
      <c r="H26" s="1"/>
      <c r="I26" s="1"/>
      <c r="J26" s="1"/>
      <c r="K26" s="1"/>
      <c r="L26" s="1"/>
      <c r="M26" s="1"/>
      <c r="N26" s="1"/>
      <c r="O26" s="21"/>
    </row>
    <row r="27" spans="1:15" x14ac:dyDescent="0.3">
      <c r="B27" s="22" t="s">
        <v>36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1"/>
    </row>
    <row r="28" spans="1:15" x14ac:dyDescent="0.3">
      <c r="B28" s="22" t="s">
        <v>37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1"/>
    </row>
    <row r="29" spans="1:15" x14ac:dyDescent="0.3">
      <c r="B29" s="22" t="s">
        <v>38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1"/>
    </row>
    <row r="30" spans="1:15" x14ac:dyDescent="0.3">
      <c r="B30" s="3" t="s">
        <v>25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1">
        <f>SUM(C30:N30)</f>
        <v>0</v>
      </c>
    </row>
    <row r="31" spans="1:15" x14ac:dyDescent="0.3">
      <c r="B31" s="22" t="s">
        <v>33</v>
      </c>
      <c r="C31" s="1"/>
      <c r="D31" s="1"/>
      <c r="E31" s="1">
        <v>1592.23</v>
      </c>
      <c r="F31" s="1"/>
      <c r="G31" s="1"/>
      <c r="H31" s="1"/>
      <c r="I31" s="1"/>
      <c r="J31" s="1"/>
      <c r="K31" s="1"/>
      <c r="L31" s="1"/>
      <c r="M31" s="1"/>
      <c r="N31" s="1"/>
      <c r="O31" s="21"/>
    </row>
    <row r="32" spans="1:15" x14ac:dyDescent="0.3">
      <c r="B32" s="22" t="s">
        <v>34</v>
      </c>
      <c r="C32" s="1"/>
      <c r="D32" s="1"/>
      <c r="E32" s="1">
        <v>7333.96</v>
      </c>
      <c r="F32" s="1"/>
      <c r="G32" s="1"/>
      <c r="H32" s="1"/>
      <c r="I32" s="1"/>
      <c r="J32" s="1"/>
      <c r="K32" s="1"/>
      <c r="L32" s="1"/>
      <c r="M32" s="1"/>
      <c r="N32" s="1"/>
      <c r="O32" s="21"/>
    </row>
    <row r="33" spans="2:15" x14ac:dyDescent="0.3">
      <c r="B33" s="22" t="s">
        <v>35</v>
      </c>
      <c r="C33" s="1"/>
      <c r="D33" s="1"/>
      <c r="E33" s="1">
        <v>4325.54</v>
      </c>
      <c r="F33" s="1"/>
      <c r="G33" s="1"/>
      <c r="H33" s="1"/>
      <c r="I33" s="1"/>
      <c r="J33" s="1"/>
      <c r="K33" s="1"/>
      <c r="L33" s="1"/>
      <c r="M33" s="1"/>
      <c r="N33" s="1"/>
      <c r="O33" s="21"/>
    </row>
    <row r="34" spans="2:15" x14ac:dyDescent="0.3">
      <c r="B34" s="22" t="s">
        <v>36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1"/>
    </row>
    <row r="35" spans="2:15" x14ac:dyDescent="0.3">
      <c r="B35" s="22" t="s">
        <v>37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1"/>
    </row>
    <row r="36" spans="2:15" x14ac:dyDescent="0.3">
      <c r="B36" s="22" t="s">
        <v>38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1"/>
    </row>
    <row r="37" spans="2:15" x14ac:dyDescent="0.3">
      <c r="B37" s="4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21"/>
    </row>
    <row r="38" spans="2:15" x14ac:dyDescent="0.3">
      <c r="B38" s="4" t="s">
        <v>3</v>
      </c>
      <c r="C38" s="9">
        <f>SUM(C23:C30)</f>
        <v>0</v>
      </c>
      <c r="D38" s="9">
        <f>SUM(D23:D30)</f>
        <v>0</v>
      </c>
      <c r="E38" s="9">
        <f>SUM(E23:E36)</f>
        <v>26149.81</v>
      </c>
      <c r="F38" s="9">
        <f t="shared" ref="F38:K38" si="4">SUM(F23:F30)</f>
        <v>0</v>
      </c>
      <c r="G38" s="9">
        <f t="shared" si="4"/>
        <v>0</v>
      </c>
      <c r="H38" s="9">
        <f t="shared" si="4"/>
        <v>0</v>
      </c>
      <c r="I38" s="9">
        <f t="shared" si="4"/>
        <v>0</v>
      </c>
      <c r="J38" s="9">
        <f t="shared" si="4"/>
        <v>0</v>
      </c>
      <c r="K38" s="9">
        <f t="shared" si="4"/>
        <v>0</v>
      </c>
      <c r="O38" s="21">
        <f>SUM(C38:N38)</f>
        <v>26149.81</v>
      </c>
    </row>
    <row r="42" spans="2:15" x14ac:dyDescent="0.3">
      <c r="B42" s="5" t="s">
        <v>2</v>
      </c>
      <c r="C42" s="5" t="s">
        <v>17</v>
      </c>
      <c r="E42" s="54" t="s">
        <v>30</v>
      </c>
      <c r="F42" s="55"/>
      <c r="G42" s="55"/>
      <c r="H42" s="55"/>
    </row>
    <row r="43" spans="2:15" x14ac:dyDescent="0.3">
      <c r="B43" s="3" t="s">
        <v>24</v>
      </c>
      <c r="C43" s="1">
        <v>20900</v>
      </c>
      <c r="E43" s="28">
        <v>102024</v>
      </c>
      <c r="F43" s="28">
        <v>112024</v>
      </c>
      <c r="G43" s="28">
        <v>122024</v>
      </c>
      <c r="H43" s="28">
        <v>12025</v>
      </c>
    </row>
    <row r="44" spans="2:15" x14ac:dyDescent="0.3">
      <c r="B44" s="3" t="s">
        <v>25</v>
      </c>
      <c r="C44" s="1">
        <v>22000</v>
      </c>
      <c r="E44" s="9">
        <v>23630</v>
      </c>
      <c r="F44" s="9">
        <v>23595</v>
      </c>
      <c r="G44" s="9">
        <v>1440</v>
      </c>
      <c r="H44" s="30">
        <v>840</v>
      </c>
    </row>
    <row r="45" spans="2:15" x14ac:dyDescent="0.3">
      <c r="B45" s="3" t="s">
        <v>3</v>
      </c>
      <c r="C45" s="1">
        <f>SUM(C43:C44)</f>
        <v>42900</v>
      </c>
      <c r="E45" s="31">
        <v>1500</v>
      </c>
      <c r="F45" s="9">
        <v>14400</v>
      </c>
      <c r="G45" s="9">
        <v>16900</v>
      </c>
      <c r="H45" s="31">
        <v>4480</v>
      </c>
    </row>
    <row r="46" spans="2:15" x14ac:dyDescent="0.3">
      <c r="E46" s="31">
        <v>4245</v>
      </c>
      <c r="F46" s="9">
        <v>1920</v>
      </c>
      <c r="G46" s="9">
        <v>21315</v>
      </c>
      <c r="H46" s="31">
        <v>1020</v>
      </c>
    </row>
    <row r="47" spans="2:15" ht="15" thickBot="1" x14ac:dyDescent="0.35">
      <c r="E47" s="31">
        <v>0</v>
      </c>
      <c r="F47" s="9">
        <v>21</v>
      </c>
      <c r="G47" s="9">
        <v>0</v>
      </c>
      <c r="H47" s="31">
        <v>23820</v>
      </c>
    </row>
    <row r="48" spans="2:15" ht="15" thickBot="1" x14ac:dyDescent="0.35">
      <c r="D48" s="4" t="s">
        <v>3</v>
      </c>
      <c r="E48" s="32">
        <f>SUM(E44:E47)</f>
        <v>29375</v>
      </c>
      <c r="F48" s="33">
        <f>SUM(F44:F47)</f>
        <v>39936</v>
      </c>
      <c r="G48" s="33">
        <f>SUM(G44:G47)</f>
        <v>39655</v>
      </c>
      <c r="H48" s="34">
        <f>SUM(H44:H47)</f>
        <v>30160</v>
      </c>
    </row>
    <row r="50" spans="6:6" x14ac:dyDescent="0.3">
      <c r="F50">
        <f>1573+720</f>
        <v>2293</v>
      </c>
    </row>
    <row r="51" spans="6:6" x14ac:dyDescent="0.3">
      <c r="F51" s="29">
        <f>F46/F50</f>
        <v>0.83733100741386834</v>
      </c>
    </row>
  </sheetData>
  <mergeCells count="1">
    <mergeCell ref="E42:H4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C722-0A04-410D-918E-BBF6AD72A502}">
  <dimension ref="B1:T41"/>
  <sheetViews>
    <sheetView showGridLines="0" workbookViewId="0">
      <selection activeCell="R9" sqref="R9"/>
    </sheetView>
  </sheetViews>
  <sheetFormatPr defaultRowHeight="14.4" x14ac:dyDescent="0.3"/>
  <cols>
    <col min="3" max="3" width="9.88671875" bestFit="1" customWidth="1"/>
    <col min="4" max="4" width="8.5546875" bestFit="1" customWidth="1"/>
    <col min="5" max="11" width="14.109375" hidden="1" customWidth="1"/>
    <col min="12" max="16" width="13.77734375" hidden="1" customWidth="1"/>
    <col min="17" max="18" width="13.77734375" bestFit="1" customWidth="1"/>
    <col min="19" max="20" width="12.88671875" bestFit="1" customWidth="1"/>
  </cols>
  <sheetData>
    <row r="1" spans="2:20" x14ac:dyDescent="0.3">
      <c r="B1" s="4"/>
      <c r="C1" s="22"/>
      <c r="D1" s="22"/>
      <c r="E1" s="23">
        <v>45658</v>
      </c>
      <c r="F1" s="23">
        <v>45689</v>
      </c>
      <c r="G1" s="23">
        <v>45717</v>
      </c>
      <c r="H1" s="23">
        <v>45748</v>
      </c>
      <c r="I1" s="23">
        <v>45778</v>
      </c>
      <c r="J1" s="23">
        <v>45809</v>
      </c>
      <c r="K1" s="23">
        <v>45839</v>
      </c>
      <c r="L1" s="23">
        <v>45870</v>
      </c>
      <c r="M1" s="23">
        <v>45901</v>
      </c>
      <c r="N1" s="23">
        <v>45931</v>
      </c>
      <c r="O1" s="23">
        <v>45962</v>
      </c>
      <c r="P1" s="23">
        <v>45992</v>
      </c>
      <c r="Q1" s="23">
        <v>46023</v>
      </c>
      <c r="R1" s="23">
        <v>46054</v>
      </c>
      <c r="T1" s="11"/>
    </row>
    <row r="2" spans="2:20" ht="16.8" x14ac:dyDescent="0.3">
      <c r="B2" s="4"/>
      <c r="C2" s="22" t="s">
        <v>10</v>
      </c>
      <c r="D2" s="22" t="s">
        <v>27</v>
      </c>
      <c r="E2" s="24">
        <v>10697.14</v>
      </c>
      <c r="F2" s="24">
        <v>11728.57</v>
      </c>
      <c r="G2" s="24">
        <v>9435.36</v>
      </c>
      <c r="H2" s="24">
        <v>9871.19</v>
      </c>
      <c r="I2" s="24">
        <v>10349.57</v>
      </c>
      <c r="J2" s="24">
        <v>9193.08</v>
      </c>
      <c r="K2" s="24">
        <v>10653.27</v>
      </c>
      <c r="L2" s="24">
        <v>11154.66</v>
      </c>
      <c r="M2" s="24">
        <v>9985.11</v>
      </c>
      <c r="N2" s="24">
        <v>11695.66</v>
      </c>
      <c r="O2" s="24">
        <v>12325.68</v>
      </c>
      <c r="P2" s="24">
        <v>12757.078800000001</v>
      </c>
      <c r="Q2" s="24">
        <v>13127.034085200001</v>
      </c>
      <c r="R2" s="24">
        <v>11945.519117532001</v>
      </c>
      <c r="S2" s="53"/>
      <c r="T2" s="53"/>
    </row>
    <row r="3" spans="2:20" ht="16.8" x14ac:dyDescent="0.3">
      <c r="B3" s="4"/>
      <c r="C3" s="22"/>
      <c r="D3" s="22" t="s">
        <v>28</v>
      </c>
      <c r="E3" s="25">
        <v>1039.4000000000001</v>
      </c>
      <c r="F3" s="25">
        <v>2038.32</v>
      </c>
      <c r="G3" s="25">
        <v>3015.5</v>
      </c>
      <c r="H3" s="25">
        <v>1830.04</v>
      </c>
      <c r="I3" s="25">
        <v>1488.22</v>
      </c>
      <c r="J3" s="25">
        <v>1420.41</v>
      </c>
      <c r="K3" s="25">
        <v>2089.9</v>
      </c>
      <c r="L3" s="25">
        <v>1498.22</v>
      </c>
      <c r="M3" s="25">
        <v>1263.6400000000001</v>
      </c>
      <c r="N3" s="25">
        <v>1495.47</v>
      </c>
      <c r="O3" s="25">
        <v>2159.33</v>
      </c>
      <c r="P3" s="25">
        <v>2234.9065500000002</v>
      </c>
      <c r="Q3" s="25">
        <v>2299.7188399500001</v>
      </c>
      <c r="R3" s="25">
        <v>2092.6622443544998</v>
      </c>
      <c r="S3" s="53"/>
      <c r="T3" s="53"/>
    </row>
    <row r="4" spans="2:20" x14ac:dyDescent="0.3">
      <c r="B4" s="4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53"/>
      <c r="T4" s="53"/>
    </row>
    <row r="5" spans="2:20" x14ac:dyDescent="0.3">
      <c r="C5" s="22"/>
      <c r="D5" s="22"/>
      <c r="E5" s="23">
        <v>45658</v>
      </c>
      <c r="F5" s="23">
        <v>45689</v>
      </c>
      <c r="G5" s="23">
        <v>45717</v>
      </c>
      <c r="H5" s="23">
        <v>45748</v>
      </c>
      <c r="I5" s="23">
        <v>45778</v>
      </c>
      <c r="J5" s="23">
        <v>45809</v>
      </c>
      <c r="K5" s="23">
        <v>45839</v>
      </c>
      <c r="L5" s="23">
        <v>45870</v>
      </c>
      <c r="M5" s="23">
        <v>45901</v>
      </c>
      <c r="N5" s="23">
        <v>45931</v>
      </c>
      <c r="O5" s="23">
        <v>45962</v>
      </c>
      <c r="P5" s="23">
        <v>45992</v>
      </c>
      <c r="Q5" s="23">
        <v>46023</v>
      </c>
      <c r="R5" s="23">
        <v>46054</v>
      </c>
      <c r="S5" s="53"/>
      <c r="T5" s="53"/>
    </row>
    <row r="6" spans="2:20" ht="16.8" x14ac:dyDescent="0.3">
      <c r="C6" s="22" t="s">
        <v>6</v>
      </c>
      <c r="D6" s="22" t="s">
        <v>27</v>
      </c>
      <c r="E6" s="25">
        <v>2674.41</v>
      </c>
      <c r="F6" s="25">
        <v>546.36</v>
      </c>
      <c r="G6" s="25">
        <v>7709.45</v>
      </c>
      <c r="H6" s="25">
        <v>693.02</v>
      </c>
      <c r="I6" s="25">
        <v>2144.15</v>
      </c>
      <c r="J6" s="25">
        <v>2109.13</v>
      </c>
      <c r="K6" s="25">
        <v>2321</v>
      </c>
      <c r="L6" s="25">
        <v>2144.11</v>
      </c>
      <c r="M6" s="25">
        <v>2189.62</v>
      </c>
      <c r="N6" s="25">
        <v>2214.7600000000002</v>
      </c>
      <c r="O6" s="25">
        <v>1989.63</v>
      </c>
      <c r="P6" s="25">
        <v>2059.27</v>
      </c>
      <c r="Q6" s="25">
        <v>2118.9888299999998</v>
      </c>
      <c r="R6" s="25">
        <v>1928.1979352999997</v>
      </c>
      <c r="S6" s="53"/>
      <c r="T6" s="53"/>
    </row>
    <row r="7" spans="2:20" x14ac:dyDescent="0.3"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53"/>
      <c r="T7" s="53"/>
    </row>
    <row r="8" spans="2:20" x14ac:dyDescent="0.3">
      <c r="C8" s="22"/>
      <c r="D8" s="22"/>
      <c r="E8" s="23">
        <v>45658</v>
      </c>
      <c r="F8" s="23">
        <v>45689</v>
      </c>
      <c r="G8" s="23">
        <v>45717</v>
      </c>
      <c r="H8" s="23">
        <v>45748</v>
      </c>
      <c r="I8" s="23">
        <v>45778</v>
      </c>
      <c r="J8" s="23">
        <v>45809</v>
      </c>
      <c r="K8" s="23">
        <v>45839</v>
      </c>
      <c r="L8" s="23">
        <v>45870</v>
      </c>
      <c r="M8" s="23">
        <v>45901</v>
      </c>
      <c r="N8" s="23">
        <v>45931</v>
      </c>
      <c r="O8" s="23">
        <v>45962</v>
      </c>
      <c r="P8" s="23">
        <v>45992</v>
      </c>
      <c r="Q8" s="23">
        <v>46023</v>
      </c>
      <c r="R8" s="23">
        <v>46054</v>
      </c>
      <c r="S8" s="53"/>
      <c r="T8" s="53"/>
    </row>
    <row r="9" spans="2:20" ht="16.8" x14ac:dyDescent="0.3">
      <c r="C9" s="27" t="s">
        <v>8</v>
      </c>
      <c r="D9" s="22" t="s">
        <v>27</v>
      </c>
      <c r="E9" s="25">
        <v>8563.2800000000007</v>
      </c>
      <c r="F9" s="25">
        <v>9232.68</v>
      </c>
      <c r="G9" s="25">
        <v>8927.83</v>
      </c>
      <c r="H9" s="25">
        <v>8305.41</v>
      </c>
      <c r="I9" s="25">
        <v>10502.35</v>
      </c>
      <c r="J9" s="25">
        <v>9522.11</v>
      </c>
      <c r="K9" s="25">
        <v>11021.54</v>
      </c>
      <c r="L9" s="25">
        <v>10546.77</v>
      </c>
      <c r="M9" s="25">
        <v>10965.63</v>
      </c>
      <c r="N9" s="25">
        <v>11056.32</v>
      </c>
      <c r="O9" s="25">
        <v>12967.61</v>
      </c>
      <c r="P9" s="25">
        <v>13421.476350000001</v>
      </c>
      <c r="Q9" s="25">
        <v>13810.699164150001</v>
      </c>
      <c r="R9" s="25">
        <v>12567.654339376501</v>
      </c>
      <c r="S9" s="53"/>
      <c r="T9" s="53"/>
    </row>
    <row r="10" spans="2:20" ht="16.8" x14ac:dyDescent="0.3">
      <c r="C10" s="22"/>
      <c r="D10" s="22" t="s">
        <v>28</v>
      </c>
      <c r="E10" s="25">
        <v>1488.5</v>
      </c>
      <c r="F10" s="25">
        <v>1503.44</v>
      </c>
      <c r="G10" s="25">
        <v>2384.5</v>
      </c>
      <c r="H10" s="25">
        <v>2910.13</v>
      </c>
      <c r="I10" s="25">
        <v>2495.33</v>
      </c>
      <c r="J10" s="25">
        <v>2831.38</v>
      </c>
      <c r="K10" s="25">
        <v>3112.35</v>
      </c>
      <c r="L10" s="25">
        <v>2457.19</v>
      </c>
      <c r="M10" s="25">
        <v>2693.14</v>
      </c>
      <c r="N10" s="25">
        <v>2716.88</v>
      </c>
      <c r="O10" s="25">
        <v>3254.41</v>
      </c>
      <c r="P10" s="25">
        <v>3368.3143499999996</v>
      </c>
      <c r="Q10" s="25">
        <v>3465.9954661499996</v>
      </c>
      <c r="R10" s="25">
        <v>3153.9739741964995</v>
      </c>
      <c r="S10" s="53"/>
      <c r="T10" s="53"/>
    </row>
    <row r="11" spans="2:20" x14ac:dyDescent="0.3"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53"/>
      <c r="T11" s="53"/>
    </row>
    <row r="12" spans="2:20" x14ac:dyDescent="0.3">
      <c r="C12" s="22"/>
      <c r="D12" s="22"/>
      <c r="E12" s="23">
        <v>45658</v>
      </c>
      <c r="F12" s="23">
        <v>45689</v>
      </c>
      <c r="G12" s="23">
        <v>45717</v>
      </c>
      <c r="H12" s="23">
        <v>45748</v>
      </c>
      <c r="I12" s="23">
        <v>45778</v>
      </c>
      <c r="J12" s="23">
        <v>45809</v>
      </c>
      <c r="K12" s="23">
        <v>45839</v>
      </c>
      <c r="L12" s="23">
        <v>45870</v>
      </c>
      <c r="M12" s="23">
        <v>45901</v>
      </c>
      <c r="N12" s="23">
        <v>45931</v>
      </c>
      <c r="O12" s="23">
        <v>45962</v>
      </c>
      <c r="P12" s="23">
        <v>45992</v>
      </c>
      <c r="Q12" s="23">
        <v>46023</v>
      </c>
      <c r="R12" s="23">
        <v>46054</v>
      </c>
      <c r="S12" s="53"/>
      <c r="T12" s="53"/>
    </row>
    <row r="13" spans="2:20" ht="16.8" x14ac:dyDescent="0.3">
      <c r="C13" s="22" t="s">
        <v>5</v>
      </c>
      <c r="D13" s="22" t="s">
        <v>27</v>
      </c>
      <c r="E13" s="25">
        <v>4095.99</v>
      </c>
      <c r="F13" s="25">
        <v>6479.43</v>
      </c>
      <c r="G13" s="25">
        <v>6781.12</v>
      </c>
      <c r="H13" s="25">
        <v>10880.74</v>
      </c>
      <c r="I13" s="25">
        <v>7291.04</v>
      </c>
      <c r="J13" s="25">
        <v>10635.8</v>
      </c>
      <c r="K13" s="25">
        <v>5875.07</v>
      </c>
      <c r="L13" s="25">
        <v>6972.66</v>
      </c>
      <c r="M13" s="25">
        <v>7365.22</v>
      </c>
      <c r="N13" s="25">
        <v>7596.34</v>
      </c>
      <c r="O13" s="25">
        <v>7136.28</v>
      </c>
      <c r="P13" s="25">
        <v>7386.0497999999998</v>
      </c>
      <c r="Q13" s="25">
        <v>7600.2452441999994</v>
      </c>
      <c r="R13" s="25">
        <v>6916.1412722219993</v>
      </c>
      <c r="S13" s="53"/>
      <c r="T13" s="53"/>
    </row>
    <row r="14" spans="2:20" ht="16.8" x14ac:dyDescent="0.3">
      <c r="C14" s="22"/>
      <c r="D14" s="22" t="s">
        <v>28</v>
      </c>
      <c r="E14" s="25">
        <v>15.67</v>
      </c>
      <c r="F14" s="25">
        <v>31.65</v>
      </c>
      <c r="G14" s="25">
        <v>47.63</v>
      </c>
      <c r="H14" s="25">
        <v>17.260000000000002</v>
      </c>
      <c r="I14" s="25">
        <v>15.98</v>
      </c>
      <c r="J14" s="25">
        <v>15.98</v>
      </c>
      <c r="K14" s="25">
        <v>15.98</v>
      </c>
      <c r="L14" s="25">
        <v>31.67</v>
      </c>
      <c r="M14" s="25">
        <v>15.67</v>
      </c>
      <c r="N14" s="25">
        <v>15.67</v>
      </c>
      <c r="O14" s="25">
        <v>15.67</v>
      </c>
      <c r="P14" s="25">
        <v>16.218450000000001</v>
      </c>
      <c r="Q14" s="25">
        <v>16.68878505</v>
      </c>
      <c r="R14" s="25">
        <v>15.104894395500001</v>
      </c>
      <c r="S14" s="53"/>
      <c r="T14" s="53"/>
    </row>
    <row r="15" spans="2:20" x14ac:dyDescent="0.3"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53"/>
      <c r="T15" s="53"/>
    </row>
    <row r="16" spans="2:20" x14ac:dyDescent="0.3">
      <c r="C16" s="22"/>
      <c r="D16" s="22"/>
      <c r="E16" s="23">
        <v>45658</v>
      </c>
      <c r="F16" s="23">
        <v>45689</v>
      </c>
      <c r="G16" s="23">
        <v>45717</v>
      </c>
      <c r="H16" s="23">
        <v>45748</v>
      </c>
      <c r="I16" s="23">
        <v>45778</v>
      </c>
      <c r="J16" s="23">
        <v>45809</v>
      </c>
      <c r="K16" s="23">
        <v>45839</v>
      </c>
      <c r="L16" s="23">
        <v>45870</v>
      </c>
      <c r="M16" s="23">
        <v>45901</v>
      </c>
      <c r="N16" s="23">
        <v>45931</v>
      </c>
      <c r="O16" s="23">
        <v>45962</v>
      </c>
      <c r="P16" s="23">
        <v>45992</v>
      </c>
      <c r="Q16" s="23">
        <v>46023</v>
      </c>
      <c r="R16" s="23">
        <v>46054</v>
      </c>
      <c r="S16" s="53"/>
      <c r="T16" s="53"/>
    </row>
    <row r="17" spans="3:20" ht="16.8" x14ac:dyDescent="0.3">
      <c r="C17" s="27" t="s">
        <v>7</v>
      </c>
      <c r="D17" s="22" t="s">
        <v>27</v>
      </c>
      <c r="E17" s="25">
        <v>2780.97</v>
      </c>
      <c r="F17" s="25">
        <v>5684.17</v>
      </c>
      <c r="G17" s="25">
        <v>2972.85</v>
      </c>
      <c r="H17" s="25">
        <v>2850.59</v>
      </c>
      <c r="I17" s="25">
        <v>2612.8000000000002</v>
      </c>
      <c r="J17" s="25">
        <v>2739.05</v>
      </c>
      <c r="K17" s="25">
        <v>3198.65</v>
      </c>
      <c r="L17" s="25">
        <v>2897.24</v>
      </c>
      <c r="M17" s="25">
        <v>2982.31</v>
      </c>
      <c r="N17" s="25">
        <v>3152.36</v>
      </c>
      <c r="O17" s="25">
        <v>3422.14</v>
      </c>
      <c r="P17" s="25">
        <v>3541.9148999999998</v>
      </c>
      <c r="Q17" s="25">
        <v>3644.6304320999998</v>
      </c>
      <c r="R17" s="25">
        <v>3316.5317932109997</v>
      </c>
      <c r="S17" s="53"/>
      <c r="T17" s="53"/>
    </row>
    <row r="18" spans="3:20" ht="16.8" x14ac:dyDescent="0.3">
      <c r="C18" s="22"/>
      <c r="D18" s="22" t="s">
        <v>28</v>
      </c>
      <c r="E18" s="25">
        <v>191.18</v>
      </c>
      <c r="F18" s="25">
        <v>621.76</v>
      </c>
      <c r="G18" s="25">
        <v>532.54999999999995</v>
      </c>
      <c r="H18" s="25">
        <v>369.57</v>
      </c>
      <c r="I18" s="25">
        <v>340.04</v>
      </c>
      <c r="J18" s="25">
        <v>386.74</v>
      </c>
      <c r="K18" s="25">
        <v>422.25</v>
      </c>
      <c r="L18" s="25">
        <v>357.98</v>
      </c>
      <c r="M18" s="25">
        <v>466.74</v>
      </c>
      <c r="N18" s="25">
        <v>489.61</v>
      </c>
      <c r="O18" s="25">
        <v>612.98</v>
      </c>
      <c r="P18" s="25">
        <v>634.43430000000001</v>
      </c>
      <c r="Q18" s="25">
        <v>652.8328947</v>
      </c>
      <c r="R18" s="25">
        <v>593.99603417699996</v>
      </c>
      <c r="S18" s="53"/>
      <c r="T18" s="53"/>
    </row>
    <row r="19" spans="3:20" x14ac:dyDescent="0.3"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53"/>
      <c r="T19" s="53"/>
    </row>
    <row r="20" spans="3:20" x14ac:dyDescent="0.3">
      <c r="C20" s="22"/>
      <c r="D20" s="22"/>
      <c r="E20" s="23">
        <v>45658</v>
      </c>
      <c r="F20" s="23">
        <v>45689</v>
      </c>
      <c r="G20" s="23">
        <v>45717</v>
      </c>
      <c r="H20" s="23">
        <v>45748</v>
      </c>
      <c r="I20" s="23">
        <v>45778</v>
      </c>
      <c r="J20" s="23">
        <v>45809</v>
      </c>
      <c r="K20" s="23">
        <v>45839</v>
      </c>
      <c r="L20" s="23">
        <v>45870</v>
      </c>
      <c r="M20" s="23">
        <v>45901</v>
      </c>
      <c r="N20" s="23">
        <v>45931</v>
      </c>
      <c r="O20" s="23">
        <v>45962</v>
      </c>
      <c r="P20" s="23">
        <v>45992</v>
      </c>
      <c r="Q20" s="23">
        <v>46023</v>
      </c>
      <c r="R20" s="23">
        <v>46054</v>
      </c>
      <c r="S20" s="53"/>
      <c r="T20" s="53"/>
    </row>
    <row r="21" spans="3:20" ht="16.8" x14ac:dyDescent="0.3">
      <c r="C21" s="22" t="s">
        <v>13</v>
      </c>
      <c r="D21" s="22" t="s">
        <v>27</v>
      </c>
      <c r="E21" s="24">
        <v>8468.52</v>
      </c>
      <c r="F21" s="24">
        <v>5469.67</v>
      </c>
      <c r="G21" s="24">
        <v>15176.49</v>
      </c>
      <c r="H21" s="24">
        <v>7484.32</v>
      </c>
      <c r="I21" s="24">
        <v>7723.94</v>
      </c>
      <c r="J21" s="24">
        <v>8319.6299999999992</v>
      </c>
      <c r="K21" s="24">
        <v>7882.19</v>
      </c>
      <c r="L21" s="24">
        <v>7682.33</v>
      </c>
      <c r="M21" s="24">
        <v>8213.2199999999993</v>
      </c>
      <c r="N21" s="24">
        <v>8561.26</v>
      </c>
      <c r="O21" s="24">
        <v>8765.26</v>
      </c>
      <c r="P21" s="24">
        <v>9072.044100000001</v>
      </c>
      <c r="Q21" s="24">
        <v>9335.1333789000018</v>
      </c>
      <c r="R21" s="24">
        <v>8494.8894747990016</v>
      </c>
      <c r="S21" s="53"/>
      <c r="T21" s="53"/>
    </row>
    <row r="22" spans="3:20" ht="16.8" x14ac:dyDescent="0.3">
      <c r="C22" s="22"/>
      <c r="D22" s="22" t="s">
        <v>28</v>
      </c>
      <c r="E22" s="24">
        <v>1645.99</v>
      </c>
      <c r="F22" s="24">
        <v>2138.9</v>
      </c>
      <c r="G22" s="24">
        <v>2111.17</v>
      </c>
      <c r="H22" s="24">
        <v>1983.05</v>
      </c>
      <c r="I22" s="24">
        <v>2064.64</v>
      </c>
      <c r="J22" s="24">
        <v>2087.31</v>
      </c>
      <c r="K22" s="24">
        <v>1781.24</v>
      </c>
      <c r="L22" s="24">
        <v>1987.64</v>
      </c>
      <c r="M22" s="24">
        <v>1865.24</v>
      </c>
      <c r="N22" s="24">
        <v>2021.64</v>
      </c>
      <c r="O22" s="24">
        <v>2169.65</v>
      </c>
      <c r="P22" s="24">
        <v>2245.5877500000001</v>
      </c>
      <c r="Q22" s="24">
        <v>2310.7097947500001</v>
      </c>
      <c r="R22" s="24">
        <v>2102.6640132225002</v>
      </c>
      <c r="S22" s="53"/>
      <c r="T22" s="53"/>
    </row>
    <row r="23" spans="3:20" x14ac:dyDescent="0.3"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>
        <v>-8.1900000000000001E-2</v>
      </c>
      <c r="S23" s="53"/>
      <c r="T23" s="53"/>
    </row>
    <row r="24" spans="3:20" x14ac:dyDescent="0.3">
      <c r="C24" s="22"/>
      <c r="D24" s="22"/>
      <c r="E24" s="23">
        <v>45658</v>
      </c>
      <c r="F24" s="23">
        <v>45689</v>
      </c>
      <c r="G24" s="23">
        <v>45717</v>
      </c>
      <c r="H24" s="23">
        <v>45748</v>
      </c>
      <c r="I24" s="23">
        <v>45778</v>
      </c>
      <c r="J24" s="23">
        <v>45809</v>
      </c>
      <c r="K24" s="23">
        <v>45839</v>
      </c>
      <c r="L24" s="23">
        <v>45839</v>
      </c>
      <c r="M24" s="23">
        <v>45901</v>
      </c>
      <c r="N24" s="23">
        <v>45931</v>
      </c>
      <c r="O24" s="23">
        <v>45962</v>
      </c>
      <c r="P24" s="23">
        <v>45992</v>
      </c>
      <c r="Q24" s="23">
        <v>46023</v>
      </c>
      <c r="R24" s="23">
        <v>46054</v>
      </c>
      <c r="S24" s="53"/>
      <c r="T24" s="53"/>
    </row>
    <row r="25" spans="3:20" ht="16.8" x14ac:dyDescent="0.3">
      <c r="C25" s="27" t="s">
        <v>14</v>
      </c>
      <c r="D25" s="22" t="s">
        <v>27</v>
      </c>
      <c r="E25" s="25">
        <v>9443.7800000000007</v>
      </c>
      <c r="F25" s="25">
        <v>12176.14</v>
      </c>
      <c r="G25" s="25">
        <v>12871.16</v>
      </c>
      <c r="H25" s="25">
        <v>8943.15</v>
      </c>
      <c r="I25" s="25">
        <v>8544.06</v>
      </c>
      <c r="J25" s="25">
        <v>9259.82</v>
      </c>
      <c r="K25" s="25">
        <v>9439.31</v>
      </c>
      <c r="L25" s="25">
        <v>9658.2099999999991</v>
      </c>
      <c r="M25" s="25">
        <v>9864.26</v>
      </c>
      <c r="N25" s="25">
        <v>10029.65</v>
      </c>
      <c r="O25" s="25">
        <v>11654.61</v>
      </c>
      <c r="P25" s="25">
        <v>12062.521350000001</v>
      </c>
      <c r="Q25" s="25">
        <v>12412.334469150001</v>
      </c>
      <c r="R25" s="25">
        <v>11295.1424669265</v>
      </c>
      <c r="S25" s="53"/>
      <c r="T25" s="53"/>
    </row>
    <row r="26" spans="3:20" ht="16.8" x14ac:dyDescent="0.3">
      <c r="C26" s="22"/>
      <c r="D26" s="22" t="s">
        <v>28</v>
      </c>
      <c r="E26" s="25">
        <v>3020.86</v>
      </c>
      <c r="F26" s="25">
        <v>3368.85</v>
      </c>
      <c r="G26" s="25">
        <v>5671.96</v>
      </c>
      <c r="H26" s="25">
        <v>3879.53</v>
      </c>
      <c r="I26" s="25">
        <v>3994.43</v>
      </c>
      <c r="J26" s="25">
        <v>2564.21</v>
      </c>
      <c r="K26" s="25">
        <v>2413.9899999999998</v>
      </c>
      <c r="L26" s="25">
        <v>2982.47</v>
      </c>
      <c r="M26" s="25">
        <v>2694.67</v>
      </c>
      <c r="N26" s="25">
        <v>2946.33</v>
      </c>
      <c r="O26" s="25">
        <v>3259.71</v>
      </c>
      <c r="P26" s="25">
        <v>3373.7998499999999</v>
      </c>
      <c r="Q26" s="25">
        <v>3471.64004565</v>
      </c>
      <c r="R26" s="25">
        <v>3159.1105415415</v>
      </c>
      <c r="S26" s="53"/>
      <c r="T26" s="53"/>
    </row>
    <row r="27" spans="3:20" x14ac:dyDescent="0.3"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53"/>
      <c r="T27" s="53"/>
    </row>
    <row r="28" spans="3:20" x14ac:dyDescent="0.3">
      <c r="C28" s="22"/>
      <c r="D28" s="22"/>
      <c r="E28" s="23">
        <v>45658</v>
      </c>
      <c r="F28" s="23">
        <v>45689</v>
      </c>
      <c r="G28" s="23">
        <v>45717</v>
      </c>
      <c r="H28" s="23">
        <v>45748</v>
      </c>
      <c r="I28" s="23">
        <v>45778</v>
      </c>
      <c r="J28" s="23">
        <v>45809</v>
      </c>
      <c r="K28" s="23">
        <v>45839</v>
      </c>
      <c r="L28" s="23">
        <v>45870</v>
      </c>
      <c r="M28" s="23">
        <v>45901</v>
      </c>
      <c r="N28" s="23">
        <v>45931</v>
      </c>
      <c r="O28" s="23">
        <v>45962</v>
      </c>
      <c r="P28" s="23">
        <v>45992</v>
      </c>
      <c r="Q28" s="23">
        <v>46023</v>
      </c>
      <c r="R28" s="23">
        <v>46054</v>
      </c>
      <c r="S28" s="53"/>
      <c r="T28" s="53"/>
    </row>
    <row r="29" spans="3:20" ht="16.8" x14ac:dyDescent="0.3">
      <c r="C29" s="22" t="s">
        <v>9</v>
      </c>
      <c r="D29" s="22" t="s">
        <v>27</v>
      </c>
      <c r="E29" s="25">
        <v>13402.72</v>
      </c>
      <c r="F29" s="25">
        <v>14836.23</v>
      </c>
      <c r="G29" s="25">
        <v>10911.65</v>
      </c>
      <c r="H29" s="25">
        <v>9071.85</v>
      </c>
      <c r="I29" s="25">
        <v>9121.5</v>
      </c>
      <c r="J29" s="25">
        <v>10338.09</v>
      </c>
      <c r="K29" s="25">
        <v>10578.37</v>
      </c>
      <c r="L29" s="25">
        <v>9842.14</v>
      </c>
      <c r="M29" s="25">
        <v>9763.2900000000009</v>
      </c>
      <c r="N29" s="25">
        <v>9965.52</v>
      </c>
      <c r="O29" s="25">
        <v>11367.24</v>
      </c>
      <c r="P29" s="25">
        <v>11765.0934</v>
      </c>
      <c r="Q29" s="25">
        <v>12106.2811086</v>
      </c>
      <c r="R29" s="25">
        <v>11016.633908825999</v>
      </c>
      <c r="S29" s="53"/>
      <c r="T29" s="53"/>
    </row>
    <row r="30" spans="3:20" ht="16.8" x14ac:dyDescent="0.3">
      <c r="C30" s="22"/>
      <c r="D30" s="22" t="s">
        <v>28</v>
      </c>
      <c r="E30" s="25">
        <v>1998.65</v>
      </c>
      <c r="F30" s="25">
        <v>1743.28</v>
      </c>
      <c r="G30" s="25">
        <v>1743.28</v>
      </c>
      <c r="H30" s="25">
        <v>1743.28</v>
      </c>
      <c r="I30" s="25">
        <v>2541.33</v>
      </c>
      <c r="J30" s="25">
        <v>3864.21</v>
      </c>
      <c r="K30" s="25">
        <v>2036.51</v>
      </c>
      <c r="L30" s="25">
        <v>2297.84</v>
      </c>
      <c r="M30" s="25">
        <v>2159.61</v>
      </c>
      <c r="N30" s="25">
        <v>2354.36</v>
      </c>
      <c r="O30" s="25">
        <v>2637.25</v>
      </c>
      <c r="P30" s="25">
        <v>2729.55375</v>
      </c>
      <c r="Q30" s="25">
        <v>2808.7108087500001</v>
      </c>
      <c r="R30" s="25">
        <v>2555.8449359625001</v>
      </c>
      <c r="S30" s="53"/>
      <c r="T30" s="53"/>
    </row>
    <row r="31" spans="3:20" x14ac:dyDescent="0.3"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>
        <v>-8.1900000000000001E-2</v>
      </c>
      <c r="S31" s="53"/>
      <c r="T31" s="53"/>
    </row>
    <row r="32" spans="3:20" x14ac:dyDescent="0.3">
      <c r="C32" s="22"/>
      <c r="D32" s="22"/>
      <c r="E32" s="23">
        <v>45658</v>
      </c>
      <c r="F32" s="23">
        <v>45689</v>
      </c>
      <c r="G32" s="23">
        <v>45717</v>
      </c>
      <c r="H32" s="23">
        <v>45748</v>
      </c>
      <c r="I32" s="23">
        <v>45778</v>
      </c>
      <c r="J32" s="23">
        <v>45809</v>
      </c>
      <c r="K32" s="23">
        <v>45839</v>
      </c>
      <c r="L32" s="23">
        <v>45870</v>
      </c>
      <c r="M32" s="23">
        <v>45901</v>
      </c>
      <c r="N32" s="23" t="s">
        <v>43</v>
      </c>
      <c r="O32" s="23">
        <v>45962</v>
      </c>
      <c r="P32" s="23">
        <v>45992</v>
      </c>
      <c r="Q32" s="23">
        <v>46023</v>
      </c>
      <c r="R32" s="23">
        <v>41909.14</v>
      </c>
      <c r="S32" s="53"/>
      <c r="T32" s="53"/>
    </row>
    <row r="33" spans="3:20" ht="16.8" x14ac:dyDescent="0.3">
      <c r="C33" s="27" t="s">
        <v>11</v>
      </c>
      <c r="D33" s="22" t="s">
        <v>27</v>
      </c>
      <c r="E33" s="25">
        <v>9496.65</v>
      </c>
      <c r="F33" s="25">
        <v>11294.72</v>
      </c>
      <c r="G33" s="25">
        <v>10340.120000000001</v>
      </c>
      <c r="H33" s="25">
        <v>10957.55</v>
      </c>
      <c r="I33" s="25">
        <v>11294.97</v>
      </c>
      <c r="J33" s="25">
        <v>9001.4599999999991</v>
      </c>
      <c r="K33" s="26">
        <v>11541.95</v>
      </c>
      <c r="L33" s="26">
        <v>10599.71</v>
      </c>
      <c r="M33" s="26">
        <v>10036.969999999999</v>
      </c>
      <c r="N33" s="26">
        <v>10596.34</v>
      </c>
      <c r="O33" s="26">
        <v>10921.38</v>
      </c>
      <c r="P33" s="26">
        <v>11303.628299999998</v>
      </c>
      <c r="Q33" s="26">
        <v>11631.433520699999</v>
      </c>
      <c r="R33" s="26">
        <v>10584.522603836998</v>
      </c>
      <c r="S33" s="53"/>
      <c r="T33" s="53"/>
    </row>
    <row r="34" spans="3:20" ht="16.8" x14ac:dyDescent="0.3">
      <c r="C34" s="22"/>
      <c r="D34" s="22" t="s">
        <v>28</v>
      </c>
      <c r="E34" s="25">
        <v>1660.68</v>
      </c>
      <c r="F34" s="25">
        <v>1832.26</v>
      </c>
      <c r="G34" s="25">
        <v>2215.25</v>
      </c>
      <c r="H34" s="25">
        <v>2641.55</v>
      </c>
      <c r="I34" s="25">
        <v>2578.4899999999998</v>
      </c>
      <c r="J34" s="25">
        <v>3736.97</v>
      </c>
      <c r="K34" s="25">
        <v>3241.65</v>
      </c>
      <c r="L34" s="25">
        <v>3157.64</v>
      </c>
      <c r="M34" s="25">
        <v>2963.54</v>
      </c>
      <c r="N34" s="25">
        <v>3161.54</v>
      </c>
      <c r="O34" s="25">
        <v>3426.87</v>
      </c>
      <c r="P34" s="25">
        <v>3546.8104499999999</v>
      </c>
      <c r="Q34" s="25">
        <v>3649.6679530500001</v>
      </c>
      <c r="R34" s="25">
        <v>3321.1159372755001</v>
      </c>
      <c r="S34" s="53"/>
      <c r="T34" s="53"/>
    </row>
    <row r="35" spans="3:20" x14ac:dyDescent="0.3"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53"/>
      <c r="T35" s="53"/>
    </row>
    <row r="36" spans="3:20" x14ac:dyDescent="0.3">
      <c r="C36" s="22"/>
      <c r="D36" s="22"/>
      <c r="E36" s="23">
        <v>45658</v>
      </c>
      <c r="F36" s="23">
        <v>45689</v>
      </c>
      <c r="G36" s="23">
        <v>45717</v>
      </c>
      <c r="H36" s="23">
        <v>45748</v>
      </c>
      <c r="I36" s="23">
        <v>45778</v>
      </c>
      <c r="J36" s="23">
        <v>45809</v>
      </c>
      <c r="K36" s="23">
        <v>45839</v>
      </c>
      <c r="L36" s="23">
        <v>45870</v>
      </c>
      <c r="M36" s="23">
        <v>45901</v>
      </c>
      <c r="N36" s="23">
        <v>45931</v>
      </c>
      <c r="O36" s="23">
        <v>45962</v>
      </c>
      <c r="P36" s="23">
        <v>45992</v>
      </c>
      <c r="Q36" s="23">
        <v>46023</v>
      </c>
      <c r="R36" s="23">
        <v>46054</v>
      </c>
      <c r="S36" s="53"/>
      <c r="T36" s="53"/>
    </row>
    <row r="37" spans="3:20" ht="16.8" x14ac:dyDescent="0.3">
      <c r="C37" s="22" t="s">
        <v>29</v>
      </c>
      <c r="D37" s="22" t="s">
        <v>27</v>
      </c>
      <c r="E37" s="25">
        <v>12232.83</v>
      </c>
      <c r="F37" s="25">
        <v>9727.7999999999993</v>
      </c>
      <c r="G37" s="25">
        <v>11070.15</v>
      </c>
      <c r="H37" s="25">
        <v>10744.34</v>
      </c>
      <c r="I37" s="25">
        <v>11240.12</v>
      </c>
      <c r="J37" s="25">
        <v>9590.1299999999992</v>
      </c>
      <c r="K37" s="25">
        <v>9232.09</v>
      </c>
      <c r="L37" s="25">
        <v>9157.52</v>
      </c>
      <c r="M37" s="25">
        <v>8851.6299999999992</v>
      </c>
      <c r="N37" s="25">
        <v>9561.6299999999992</v>
      </c>
      <c r="O37" s="25">
        <v>9137.26</v>
      </c>
      <c r="P37" s="25">
        <v>9457.0640999999996</v>
      </c>
      <c r="Q37" s="25">
        <v>9731.3189588999994</v>
      </c>
      <c r="R37" s="25">
        <v>8855.4183525989993</v>
      </c>
      <c r="S37" s="53"/>
      <c r="T37" s="53"/>
    </row>
    <row r="38" spans="3:20" ht="16.8" x14ac:dyDescent="0.3">
      <c r="C38" s="22"/>
      <c r="D38" s="22" t="s">
        <v>28</v>
      </c>
      <c r="E38" s="25">
        <v>509.45</v>
      </c>
      <c r="F38" s="25">
        <v>388.06</v>
      </c>
      <c r="G38" s="25">
        <v>288.89999999999998</v>
      </c>
      <c r="H38" s="25">
        <v>1627.88</v>
      </c>
      <c r="I38" s="25">
        <v>1842.31</v>
      </c>
      <c r="J38" s="25">
        <v>3876.03</v>
      </c>
      <c r="K38" s="25">
        <v>2448.44</v>
      </c>
      <c r="L38" s="25">
        <v>2186.61</v>
      </c>
      <c r="M38" s="25">
        <v>2297.11</v>
      </c>
      <c r="N38" s="25">
        <v>2365.17</v>
      </c>
      <c r="O38" s="25">
        <v>3183.45</v>
      </c>
      <c r="P38" s="25">
        <v>3294.87075</v>
      </c>
      <c r="Q38" s="25">
        <v>6432.11</v>
      </c>
      <c r="R38" s="25">
        <v>5853.1381999999994</v>
      </c>
      <c r="S38" s="53"/>
      <c r="T38" s="53"/>
    </row>
    <row r="39" spans="3:20" x14ac:dyDescent="0.3"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53"/>
    </row>
    <row r="41" spans="3:20" x14ac:dyDescent="0.3">
      <c r="K41" t="s">
        <v>31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6d6fca5-6637-4376-acac-f3a596a1663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7D6A26934FDD49AEE14972876C4A2E" ma:contentTypeVersion="8" ma:contentTypeDescription="Create a new document." ma:contentTypeScope="" ma:versionID="d8613469458670a2a32408c9fab1a337">
  <xsd:schema xmlns:xsd="http://www.w3.org/2001/XMLSchema" xmlns:xs="http://www.w3.org/2001/XMLSchema" xmlns:p="http://schemas.microsoft.com/office/2006/metadata/properties" xmlns:ns3="66d6fca5-6637-4376-acac-f3a596a16639" xmlns:ns4="283aa056-9694-4d0c-ae15-8823cb81fbec" targetNamespace="http://schemas.microsoft.com/office/2006/metadata/properties" ma:root="true" ma:fieldsID="6a85d84e9a1eee3ab5484366e9760afe" ns3:_="" ns4:_="">
    <xsd:import namespace="66d6fca5-6637-4376-acac-f3a596a16639"/>
    <xsd:import namespace="283aa056-9694-4d0c-ae15-8823cb81fb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6fca5-6637-4376-acac-f3a596a166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aa056-9694-4d0c-ae15-8823cb81fbe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2F5AC4-01B9-43DE-8FAC-AE75BB7E9E53}">
  <ds:schemaRefs>
    <ds:schemaRef ds:uri="http://schemas.microsoft.com/office/2006/metadata/properties"/>
    <ds:schemaRef ds:uri="http://schemas.microsoft.com/office/infopath/2007/PartnerControls"/>
    <ds:schemaRef ds:uri="66d6fca5-6637-4376-acac-f3a596a16639"/>
  </ds:schemaRefs>
</ds:datastoreItem>
</file>

<file path=customXml/itemProps2.xml><?xml version="1.0" encoding="utf-8"?>
<ds:datastoreItem xmlns:ds="http://schemas.openxmlformats.org/officeDocument/2006/customXml" ds:itemID="{E2FDE4F6-4D3B-4DCA-B7C4-5BF3BBC758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d6fca5-6637-4376-acac-f3a596a16639"/>
    <ds:schemaRef ds:uri="283aa056-9694-4d0c-ae15-8823cb81fb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F4AD84-4532-4E58-A958-9BDBF97C3F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MP</vt:lpstr>
      <vt:lpstr>MA</vt:lpstr>
      <vt:lpstr>DESPESAS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Fortes</dc:creator>
  <cp:keywords/>
  <dc:description/>
  <cp:lastModifiedBy>Manda Picanha</cp:lastModifiedBy>
  <cp:revision/>
  <cp:lastPrinted>2026-01-22T18:40:02Z</cp:lastPrinted>
  <dcterms:created xsi:type="dcterms:W3CDTF">2024-05-05T12:21:11Z</dcterms:created>
  <dcterms:modified xsi:type="dcterms:W3CDTF">2026-03-16T11:45:07Z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0x010100D27D6A26934FDD49AEE14972876C4A2E</vt:lpwstr>
  </property>
</Properties>
</file>